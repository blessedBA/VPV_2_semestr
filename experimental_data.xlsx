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rigory\Downloads\Telegram Desktop\"/>
    </mc:Choice>
  </mc:AlternateContent>
  <xr:revisionPtr revIDLastSave="0" documentId="8_{F48E809C-BFBA-43F9-850B-98BCADAA4FA7}" xr6:coauthVersionLast="36" xr6:coauthVersionMax="36" xr10:uidLastSave="{00000000-0000-0000-0000-000000000000}"/>
  <bookViews>
    <workbookView xWindow="0" yWindow="0" windowWidth="18984" windowHeight="8940" tabRatio="500" xr2:uid="{00000000-000D-0000-FFFF-FFFF00000000}"/>
  </bookViews>
  <sheets>
    <sheet name="Лист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6" i="1" l="1"/>
  <c r="M16" i="1"/>
  <c r="L16" i="1"/>
  <c r="N15" i="1"/>
  <c r="M15" i="1"/>
  <c r="L15" i="1"/>
  <c r="M14" i="1"/>
  <c r="L14" i="1"/>
  <c r="N14" i="1" s="1"/>
  <c r="M13" i="1"/>
  <c r="L13" i="1"/>
  <c r="N13" i="1" s="1"/>
  <c r="M12" i="1"/>
  <c r="L12" i="1"/>
  <c r="N12" i="1" s="1"/>
  <c r="M11" i="1"/>
  <c r="L11" i="1"/>
  <c r="N11" i="1" s="1"/>
  <c r="N10" i="1"/>
  <c r="M10" i="1"/>
  <c r="L10" i="1"/>
  <c r="N9" i="1"/>
  <c r="M9" i="1"/>
  <c r="L9" i="1"/>
  <c r="M8" i="1"/>
  <c r="L8" i="1"/>
  <c r="N8" i="1" s="1"/>
  <c r="M7" i="1"/>
  <c r="L7" i="1"/>
  <c r="N7" i="1" s="1"/>
  <c r="N6" i="1"/>
  <c r="M6" i="1"/>
  <c r="L6" i="1"/>
  <c r="N5" i="1"/>
  <c r="M5" i="1"/>
  <c r="L5" i="1"/>
  <c r="M4" i="1"/>
  <c r="L4" i="1"/>
  <c r="N4" i="1" s="1"/>
  <c r="M3" i="1"/>
  <c r="L3" i="1"/>
  <c r="N3" i="1" s="1"/>
  <c r="N2" i="1"/>
  <c r="M2" i="1"/>
  <c r="L2" i="1"/>
  <c r="F2" i="1"/>
  <c r="S16" i="1" l="1"/>
  <c r="R2" i="1"/>
  <c r="S4" i="1" s="1"/>
  <c r="S2" i="1"/>
  <c r="S6" i="1"/>
  <c r="S15" i="1"/>
  <c r="S10" i="1"/>
  <c r="S3" i="1"/>
  <c r="S7" i="1"/>
  <c r="S11" i="1"/>
  <c r="S14" i="1" l="1"/>
  <c r="S8" i="1"/>
  <c r="S5" i="1"/>
  <c r="S9" i="1"/>
  <c r="S13" i="1"/>
  <c r="S12" i="1"/>
</calcChain>
</file>

<file path=xl/sharedStrings.xml><?xml version="1.0" encoding="utf-8"?>
<sst xmlns="http://schemas.openxmlformats.org/spreadsheetml/2006/main" count="153" uniqueCount="96">
  <si>
    <t>Начальные размеры</t>
  </si>
  <si>
    <t>l_0, мм</t>
  </si>
  <si>
    <t>d_0, мм</t>
  </si>
  <si>
    <t>h_0, мм</t>
  </si>
  <si>
    <t>po_0, г/см^3</t>
  </si>
  <si>
    <t>s_0, мм^2</t>
  </si>
  <si>
    <t>m_рамки, гр</t>
  </si>
  <si>
    <t xml:space="preserve">m_платформы, гр </t>
  </si>
  <si>
    <t>Растяжение резины при разных подвешенных грузах</t>
  </si>
  <si>
    <t xml:space="preserve">m_груза, гр </t>
  </si>
  <si>
    <t>l, мм</t>
  </si>
  <si>
    <t>lyambda</t>
  </si>
  <si>
    <t>f, Н</t>
  </si>
  <si>
    <t xml:space="preserve">epsilon </t>
  </si>
  <si>
    <t xml:space="preserve">Данные из графика f(lyambda) </t>
  </si>
  <si>
    <t>k</t>
  </si>
  <si>
    <t>b</t>
  </si>
  <si>
    <t>E, Мпа</t>
  </si>
  <si>
    <t>A(lyambda), Дж</t>
  </si>
  <si>
    <t>Зависимость температуры от времени</t>
  </si>
  <si>
    <t xml:space="preserve">lyambda = </t>
  </si>
  <si>
    <t>detla_u_for_3, mB</t>
  </si>
  <si>
    <t>detla_u_for_4, mB</t>
  </si>
  <si>
    <t>detla_u_for_5, mB</t>
  </si>
  <si>
    <t>detla_u_for_6, mB</t>
  </si>
  <si>
    <t>detla_u_for_7, mB</t>
  </si>
  <si>
    <t>detla_u_for_8, mB</t>
  </si>
  <si>
    <t>detla_u_for_9, mB</t>
  </si>
  <si>
    <t>detla_u_for_10, mB</t>
  </si>
  <si>
    <t>detla_u_for_11, mB</t>
  </si>
  <si>
    <t>см</t>
  </si>
  <si>
    <t>λ</t>
  </si>
  <si>
    <t>Работа A, Дж</t>
  </si>
  <si>
    <t>Погр-ть ΔA, Дж</t>
  </si>
  <si>
    <t>Среднее ⟨ΔU⟩, мВ</t>
  </si>
  <si>
    <t>Полная погр-ть Δ(ΔU), мВ</t>
  </si>
  <si>
    <t>Температура ΔT, °C</t>
  </si>
  <si>
    <t>Погрешность Δ(ΔT), °C</t>
  </si>
  <si>
    <t>Погрешность</t>
  </si>
  <si>
    <t>Эксперимент</t>
  </si>
  <si>
    <t>Столбец</t>
  </si>
  <si>
    <t>t_abs, с</t>
  </si>
  <si>
    <t>t0, с</t>
  </si>
  <si>
    <t>t'=t-t0, с</t>
  </si>
  <si>
    <t>sigma_t', с</t>
  </si>
  <si>
    <t>U, В</t>
  </si>
  <si>
    <t>U_inf, В</t>
  </si>
  <si>
    <t>sigma_U, В</t>
  </si>
  <si>
    <t>Delta_U, В</t>
  </si>
  <si>
    <t>sigma_Delta_U, В</t>
  </si>
  <si>
    <t>Delta_T, К</t>
  </si>
  <si>
    <t>sigma_Delta_T, К</t>
  </si>
  <si>
    <t>T0, К</t>
  </si>
  <si>
    <t>Delta_T/T0</t>
  </si>
  <si>
    <t>sigma_Delta_T/T0</t>
  </si>
  <si>
    <t>ln(Delta_T/T0)</t>
  </si>
  <si>
    <t>sigma_ln(Delta_T/T0)</t>
  </si>
  <si>
    <t>A, Дж</t>
  </si>
  <si>
    <t>sigma_A, Дж</t>
  </si>
  <si>
    <t>U_peak, В</t>
  </si>
  <si>
    <t>Метод U_inf</t>
  </si>
  <si>
    <t>Окно U_inf, с</t>
  </si>
  <si>
    <t>k, 1/с</t>
  </si>
  <si>
    <t>sigma_k, 1/с</t>
  </si>
  <si>
    <t>sigma_b</t>
  </si>
  <si>
    <t>tau, с</t>
  </si>
  <si>
    <t>sigma_tau, с</t>
  </si>
  <si>
    <t>Delta_T0/T0</t>
  </si>
  <si>
    <t>sigma_Delta_T0/T0</t>
  </si>
  <si>
    <t>Delta_T0, К</t>
  </si>
  <si>
    <t>sigma_Delta_T0, К</t>
  </si>
  <si>
    <t>C_l, Дж/К</t>
  </si>
  <si>
    <t>sigma_C_l, Дж/К</t>
  </si>
  <si>
    <t>Количество точек</t>
  </si>
  <si>
    <t>°C/Дж</t>
  </si>
  <si>
    <t>Напряжение 1_19.06_lmax, В</t>
  </si>
  <si>
    <t>tail after peak</t>
  </si>
  <si>
    <t>-86.580 ... -76.580</t>
  </si>
  <si>
    <t>Дж/°C</t>
  </si>
  <si>
    <t>Напряжение 2_19.06_lmax-1, В</t>
  </si>
  <si>
    <t>21.800 ... 31.800</t>
  </si>
  <si>
    <t>Напряжение 3_19.06_lmax-3, В</t>
  </si>
  <si>
    <t>67.380 ... 77.380</t>
  </si>
  <si>
    <t>СКО среднего ⟨ΔU⟩, мВ</t>
  </si>
  <si>
    <t>Величина</t>
  </si>
  <si>
    <t>Значение</t>
  </si>
  <si>
    <t>Единицы</t>
  </si>
  <si>
    <t>Угловой коэффициент k</t>
  </si>
  <si>
    <t>Теплоёмкость C_l</t>
  </si>
  <si>
    <t>Δl, м</t>
  </si>
  <si>
    <t>ΔT0, К</t>
  </si>
  <si>
    <t>Δ(ΔT0), К</t>
  </si>
  <si>
    <t>ΔT0/Δl, К/м</t>
  </si>
  <si>
    <t>K_T, Н</t>
  </si>
  <si>
    <t>α, 1/К</t>
  </si>
  <si>
    <t>Δα, 1/К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</si>
</sst>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/>
    <xf numFmtId="2" fontId="0" fillId="0" borderId="0" xfId="0" applyNumberFormat="1" applyAlignment="1" applyProtection="1"/>
    <xf numFmtId="0" fontId="1" fillId="0" borderId="0" xfId="0" applyFont="1" applyAlignment="1" applyProtection="1">
      <alignment wrapText="1"/>
    </xf>
    <xf numFmtId="0" fontId="0" fillId="0" borderId="0" xfId="0" applyFont="1" applyAlignment="1" applyProtection="1">
      <alignment wrapText="1"/>
    </xf>
    <xf numFmtId="11" fontId="1" fillId="0" borderId="0" xfId="0" applyNumberFormat="1" applyFont="1" applyAlignment="1" applyProtection="1">
      <alignment wrapText="1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3117960</xdr:colOff>
      <xdr:row>17</xdr:row>
      <xdr:rowOff>105840</xdr:rowOff>
    </xdr:from>
    <xdr:to>
      <xdr:col>21</xdr:col>
      <xdr:colOff>666720</xdr:colOff>
      <xdr:row>61</xdr:row>
      <xdr:rowOff>20159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26400" y="3942360"/>
          <a:ext cx="13057560" cy="7877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97</xdr:col>
      <xdr:colOff>0</xdr:colOff>
      <xdr:row>21</xdr:row>
      <xdr:rowOff>0</xdr:rowOff>
    </xdr:from>
    <xdr:to>
      <xdr:col>132</xdr:col>
      <xdr:colOff>357840</xdr:colOff>
      <xdr:row>55</xdr:row>
      <xdr:rowOff>5774</xdr:rowOff>
    </xdr:to>
    <xdr:pic>
      <xdr:nvPicPr>
        <xdr:cNvPr id="3" name="Изображение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5130200" y="4560480"/>
          <a:ext cx="22147560" cy="615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152</xdr:col>
      <xdr:colOff>0</xdr:colOff>
      <xdr:row>3</xdr:row>
      <xdr:rowOff>0</xdr:rowOff>
    </xdr:from>
    <xdr:to>
      <xdr:col>160</xdr:col>
      <xdr:colOff>40273</xdr:colOff>
      <xdr:row>4</xdr:row>
      <xdr:rowOff>43740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ABCE785-E6A8-4B64-81BD-428237EA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55419" y="2212258"/>
          <a:ext cx="4563112" cy="781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66"/>
  <sheetViews>
    <sheetView tabSelected="1" topLeftCell="T1" zoomScale="31" zoomScaleNormal="64" workbookViewId="0">
      <selection activeCell="EW4" sqref="EW4"/>
    </sheetView>
  </sheetViews>
  <sheetFormatPr defaultColWidth="8.33203125" defaultRowHeight="14.4" x14ac:dyDescent="0.3"/>
  <cols>
    <col min="1" max="1" width="30.109375" style="1" customWidth="1"/>
    <col min="3" max="3" width="8.88671875" style="2" customWidth="1"/>
    <col min="5" max="5" width="11.6640625" style="1" customWidth="1"/>
    <col min="6" max="6" width="9.88671875" style="1" customWidth="1"/>
    <col min="7" max="7" width="11.44140625" style="1" customWidth="1"/>
    <col min="8" max="8" width="16.44140625" style="1" customWidth="1"/>
    <col min="9" max="9" width="47.6640625" style="1" customWidth="1"/>
    <col min="10" max="10" width="11" style="1" customWidth="1"/>
    <col min="11" max="11" width="10.109375" style="1" customWidth="1"/>
    <col min="13" max="13" width="12.44140625" style="1" customWidth="1"/>
    <col min="14" max="14" width="12.21875" style="1" customWidth="1"/>
    <col min="15" max="15" width="28.21875" style="1" customWidth="1"/>
    <col min="16" max="16" width="12.33203125" style="1" customWidth="1"/>
    <col min="17" max="17" width="11.44140625" style="1" customWidth="1"/>
    <col min="19" max="19" width="14.77734375" style="1" customWidth="1"/>
    <col min="21" max="21" width="34.77734375" style="1" customWidth="1"/>
    <col min="22" max="24" width="10" style="1" customWidth="1"/>
    <col min="25" max="31" width="16.88671875" style="1" customWidth="1"/>
    <col min="32" max="33" width="17.88671875" style="1" customWidth="1"/>
    <col min="42" max="50" width="8.44140625" bestFit="1" customWidth="1"/>
    <col min="75" max="75" width="8.44140625" bestFit="1" customWidth="1"/>
    <col min="77" max="83" width="8.44140625" bestFit="1" customWidth="1"/>
    <col min="84" max="85" width="12.33203125" bestFit="1" customWidth="1"/>
    <col min="86" max="86" width="11.21875" bestFit="1" customWidth="1"/>
    <col min="87" max="87" width="12.33203125" bestFit="1" customWidth="1"/>
    <col min="88" max="88" width="8.44140625" bestFit="1" customWidth="1"/>
    <col min="89" max="89" width="12.33203125" bestFit="1" customWidth="1"/>
    <col min="90" max="90" width="12.5546875" customWidth="1"/>
    <col min="95" max="95" width="15.77734375" customWidth="1"/>
    <col min="96" max="96" width="19.44140625" customWidth="1"/>
    <col min="102" max="102" width="14.33203125" customWidth="1"/>
    <col min="103" max="103" width="11.5546875" customWidth="1"/>
    <col min="113" max="113" width="16.21875" customWidth="1"/>
  </cols>
  <sheetData>
    <row r="1" spans="1:14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U1" s="2" t="s">
        <v>19</v>
      </c>
      <c r="V1" s="2" t="s">
        <v>20</v>
      </c>
      <c r="W1" s="1" t="s">
        <v>20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M1" s="3"/>
      <c r="AN1" s="3"/>
      <c r="AO1" s="3"/>
      <c r="AP1" s="3" t="s">
        <v>30</v>
      </c>
      <c r="AQ1" t="s">
        <v>31</v>
      </c>
      <c r="AR1" t="s">
        <v>32</v>
      </c>
      <c r="AS1" t="s">
        <v>33</v>
      </c>
      <c r="AT1" s="4" t="s">
        <v>34</v>
      </c>
      <c r="AU1" s="3" t="s">
        <v>83</v>
      </c>
      <c r="AV1" s="3" t="s">
        <v>35</v>
      </c>
      <c r="AW1" s="3" t="s">
        <v>36</v>
      </c>
      <c r="AX1" s="3" t="s">
        <v>37</v>
      </c>
      <c r="AY1" s="3"/>
      <c r="AZ1" s="3"/>
      <c r="BA1" s="3"/>
      <c r="BB1" s="3"/>
      <c r="BC1" t="s">
        <v>84</v>
      </c>
      <c r="BD1" s="4" t="s">
        <v>85</v>
      </c>
      <c r="BE1" s="3" t="s">
        <v>38</v>
      </c>
      <c r="BF1" s="3" t="s">
        <v>86</v>
      </c>
      <c r="BG1" s="3"/>
      <c r="BH1" s="3"/>
      <c r="BI1" s="3"/>
      <c r="BM1" s="1"/>
      <c r="BN1" s="1"/>
      <c r="BO1" s="1"/>
      <c r="BP1" s="1"/>
      <c r="BQ1" s="1"/>
      <c r="BR1" s="3"/>
      <c r="BS1" s="3"/>
      <c r="BT1" s="3"/>
      <c r="BU1" s="3"/>
      <c r="BV1" s="3"/>
      <c r="BW1" s="3" t="s">
        <v>39</v>
      </c>
      <c r="BX1" s="3" t="s">
        <v>40</v>
      </c>
      <c r="BY1" s="3" t="s">
        <v>41</v>
      </c>
      <c r="BZ1" t="s">
        <v>42</v>
      </c>
      <c r="CA1" t="s">
        <v>43</v>
      </c>
      <c r="CB1" t="s">
        <v>44</v>
      </c>
      <c r="CC1" t="s">
        <v>45</v>
      </c>
      <c r="CD1" t="s">
        <v>46</v>
      </c>
      <c r="CE1" t="s">
        <v>47</v>
      </c>
      <c r="CF1" s="3" t="s">
        <v>48</v>
      </c>
      <c r="CG1" s="3" t="s">
        <v>49</v>
      </c>
      <c r="CH1" s="3" t="s">
        <v>50</v>
      </c>
      <c r="CI1" s="3" t="s">
        <v>51</v>
      </c>
      <c r="CJ1" s="3" t="s">
        <v>52</v>
      </c>
      <c r="CK1" s="3" t="s">
        <v>53</v>
      </c>
      <c r="CL1" s="3" t="s">
        <v>54</v>
      </c>
      <c r="CM1" s="3" t="s">
        <v>55</v>
      </c>
      <c r="CN1" t="s">
        <v>56</v>
      </c>
      <c r="CR1" t="s">
        <v>39</v>
      </c>
      <c r="CS1" t="s">
        <v>40</v>
      </c>
      <c r="CT1" t="s">
        <v>57</v>
      </c>
      <c r="CU1" t="s">
        <v>58</v>
      </c>
      <c r="CV1" t="s">
        <v>42</v>
      </c>
      <c r="CW1" t="s">
        <v>59</v>
      </c>
      <c r="CX1" t="s">
        <v>46</v>
      </c>
      <c r="CY1" t="s">
        <v>60</v>
      </c>
      <c r="CZ1" t="s">
        <v>61</v>
      </c>
      <c r="DA1" t="s">
        <v>62</v>
      </c>
      <c r="DB1" t="s">
        <v>63</v>
      </c>
      <c r="DC1" t="s">
        <v>16</v>
      </c>
      <c r="DD1" t="s">
        <v>64</v>
      </c>
      <c r="DE1" t="s">
        <v>65</v>
      </c>
      <c r="DF1" t="s">
        <v>66</v>
      </c>
      <c r="DG1" t="s">
        <v>52</v>
      </c>
      <c r="DH1" t="s">
        <v>67</v>
      </c>
      <c r="DI1" t="s">
        <v>68</v>
      </c>
      <c r="DJ1" t="s">
        <v>69</v>
      </c>
      <c r="DK1" t="s">
        <v>70</v>
      </c>
      <c r="DL1" t="s">
        <v>71</v>
      </c>
      <c r="DM1" t="s">
        <v>72</v>
      </c>
      <c r="DN1" t="s">
        <v>73</v>
      </c>
      <c r="EI1" t="s">
        <v>30</v>
      </c>
      <c r="EJ1" t="s">
        <v>31</v>
      </c>
      <c r="EK1" t="s">
        <v>89</v>
      </c>
      <c r="EL1" t="s">
        <v>90</v>
      </c>
      <c r="EM1" t="s">
        <v>91</v>
      </c>
      <c r="EN1" t="s">
        <v>92</v>
      </c>
      <c r="EO1" t="s">
        <v>93</v>
      </c>
      <c r="EP1" t="s">
        <v>94</v>
      </c>
      <c r="EQ1" t="s">
        <v>95</v>
      </c>
    </row>
    <row r="2" spans="1:147" ht="57.6" x14ac:dyDescent="0.3">
      <c r="B2" s="2">
        <v>100</v>
      </c>
      <c r="C2" s="2">
        <v>6.26</v>
      </c>
      <c r="D2" s="2">
        <v>4.76</v>
      </c>
      <c r="E2" s="2">
        <v>0.96499999999999997</v>
      </c>
      <c r="F2" s="2">
        <f>C:C*D:D</f>
        <v>29.797599999999999</v>
      </c>
      <c r="G2" s="2">
        <v>142.69999999999999</v>
      </c>
      <c r="H2" s="2">
        <v>152</v>
      </c>
      <c r="I2" s="2"/>
      <c r="J2" s="2">
        <v>102</v>
      </c>
      <c r="K2" s="2">
        <v>127</v>
      </c>
      <c r="L2" s="2">
        <f t="shared" ref="L2:L16" si="0">K2/$B$2</f>
        <v>1.27</v>
      </c>
      <c r="M2" s="1">
        <f t="shared" ref="M2:M16" si="1">9.81*10^-3*(J2+$G$2+$H$2)</f>
        <v>3.8916270000000002</v>
      </c>
      <c r="N2" s="1">
        <f t="shared" ref="N2:N16" si="2">L2-(1/(L2)^2)</f>
        <v>0.64999875999751999</v>
      </c>
      <c r="P2" s="1">
        <v>7.8188300000000002E-2</v>
      </c>
      <c r="Q2" s="1">
        <v>0.31470399999999998</v>
      </c>
      <c r="R2" s="1">
        <f>3 / ($P$2*$F$2)</f>
        <v>1.2876510850794423</v>
      </c>
      <c r="S2" s="1">
        <f t="shared" ref="S2:S16" si="3">($F$2*$R$2*$B$2/3000)*(0.5*(L2^2-1)+(1/L2-1))</f>
        <v>0.12003276040424146</v>
      </c>
      <c r="Y2" s="1">
        <v>2.6</v>
      </c>
      <c r="Z2" s="1">
        <v>6.2</v>
      </c>
      <c r="AA2" s="1">
        <v>9</v>
      </c>
      <c r="AB2" s="1">
        <v>11.4</v>
      </c>
      <c r="AC2" s="1">
        <v>15.5</v>
      </c>
      <c r="AD2" s="1">
        <v>19</v>
      </c>
      <c r="AE2" s="1">
        <v>23.2</v>
      </c>
      <c r="AF2" s="1">
        <v>29.6</v>
      </c>
      <c r="AG2" s="1">
        <v>37.6</v>
      </c>
      <c r="AM2" s="3"/>
      <c r="AN2" s="4"/>
      <c r="AO2" s="3"/>
      <c r="AP2" s="3">
        <v>3</v>
      </c>
      <c r="AQ2">
        <v>1.37</v>
      </c>
      <c r="AR2">
        <v>0.215</v>
      </c>
      <c r="AS2">
        <v>8.0000000000000002E-3</v>
      </c>
      <c r="AT2" s="3">
        <v>3.2</v>
      </c>
      <c r="AU2" s="4">
        <v>0.30599999999999999</v>
      </c>
      <c r="AV2" s="4">
        <v>0.32</v>
      </c>
      <c r="AW2" s="3">
        <v>1.6E-2</v>
      </c>
      <c r="AX2" s="4">
        <v>1.6000000000000001E-3</v>
      </c>
      <c r="AY2" s="4"/>
      <c r="AZ2" s="4"/>
      <c r="BA2" s="3"/>
      <c r="BB2" s="4"/>
      <c r="BC2" t="s">
        <v>87</v>
      </c>
      <c r="BD2" s="3">
        <v>0.19800000000000001</v>
      </c>
      <c r="BE2" s="4">
        <v>1.2999999999999999E-2</v>
      </c>
      <c r="BF2" s="4" t="s">
        <v>74</v>
      </c>
      <c r="BG2" s="4"/>
      <c r="BH2" s="4"/>
      <c r="BI2" s="4"/>
      <c r="BM2" s="1"/>
      <c r="BN2" s="1"/>
      <c r="BO2" s="1"/>
      <c r="BP2" s="1"/>
      <c r="BQ2" s="1"/>
      <c r="BR2" s="3"/>
      <c r="BS2" s="4"/>
      <c r="BT2" s="4"/>
      <c r="BU2" s="4"/>
      <c r="BV2" s="4"/>
      <c r="BW2" s="4">
        <v>1</v>
      </c>
      <c r="BX2" s="3" t="s">
        <v>75</v>
      </c>
      <c r="BY2" s="3">
        <v>-94.08</v>
      </c>
      <c r="BZ2">
        <v>-94.58</v>
      </c>
      <c r="CA2">
        <v>0.5</v>
      </c>
      <c r="CB2">
        <v>0.05</v>
      </c>
      <c r="CC2">
        <v>5.2400000000000002E-2</v>
      </c>
      <c r="CD2">
        <v>2.54139720558882E-2</v>
      </c>
      <c r="CE2">
        <v>4.0000000000000002E-4</v>
      </c>
      <c r="CF2" s="3">
        <v>2.6986027944111798E-2</v>
      </c>
      <c r="CG2" s="4">
        <v>5.6568542494923803E-4</v>
      </c>
      <c r="CH2" s="4">
        <v>0.13493013972055901</v>
      </c>
      <c r="CI2" s="4">
        <v>2.8284271247461901E-3</v>
      </c>
      <c r="CJ2" s="4">
        <v>300</v>
      </c>
      <c r="CK2" s="4">
        <v>4.4976713240186302E-4</v>
      </c>
      <c r="CL2" s="5">
        <v>9.4280904158206301E-6</v>
      </c>
      <c r="CM2" s="3">
        <v>-7.7067805926921498</v>
      </c>
      <c r="CN2">
        <v>2.09621596079562E-2</v>
      </c>
      <c r="CR2">
        <v>1</v>
      </c>
      <c r="CS2" t="s">
        <v>75</v>
      </c>
      <c r="CT2">
        <v>0.78900000000000003</v>
      </c>
      <c r="CU2">
        <v>1.4999999999999999E-2</v>
      </c>
      <c r="CV2">
        <v>-94.58</v>
      </c>
      <c r="CW2">
        <v>6.3200000000000006E-2</v>
      </c>
      <c r="CX2">
        <v>2.54139720558882E-2</v>
      </c>
      <c r="CY2" t="s">
        <v>76</v>
      </c>
      <c r="CZ2" t="s">
        <v>77</v>
      </c>
      <c r="DA2">
        <v>-0.26799406426135702</v>
      </c>
      <c r="DB2">
        <v>7.39313206133061E-3</v>
      </c>
      <c r="DC2">
        <v>-7.7833247751605699</v>
      </c>
      <c r="DD2">
        <v>1.87192791754256E-2</v>
      </c>
      <c r="DE2">
        <v>3.7314259282428202</v>
      </c>
      <c r="DF2">
        <v>0.102938565973866</v>
      </c>
      <c r="DG2">
        <v>300</v>
      </c>
      <c r="DH2">
        <v>4.1662468593811001E-4</v>
      </c>
      <c r="DI2" s="6">
        <v>7.7989138074494897E-6</v>
      </c>
      <c r="DJ2">
        <v>0.124987405781433</v>
      </c>
      <c r="DK2">
        <v>2.3396741422348501E-3</v>
      </c>
      <c r="DL2">
        <v>6.3126360217423398</v>
      </c>
      <c r="DM2">
        <v>0.16842380304115201</v>
      </c>
      <c r="DN2">
        <v>15</v>
      </c>
      <c r="EI2">
        <v>3</v>
      </c>
      <c r="EJ2">
        <v>1.37</v>
      </c>
      <c r="EK2">
        <v>0.03</v>
      </c>
      <c r="EL2">
        <v>1.6E-2</v>
      </c>
      <c r="EM2">
        <v>1.6000000000000001E-3</v>
      </c>
      <c r="EN2">
        <v>0.53300000000000003</v>
      </c>
      <c r="EO2">
        <v>31.21</v>
      </c>
      <c r="EP2" s="6">
        <v>-2.8800000000000001E-4</v>
      </c>
      <c r="EQ2" s="6">
        <v>3.4999999999999997E-5</v>
      </c>
    </row>
    <row r="3" spans="1:147" ht="57.6" x14ac:dyDescent="0.3">
      <c r="B3" s="2"/>
      <c r="D3" s="2"/>
      <c r="E3" s="2"/>
      <c r="F3" s="2"/>
      <c r="G3" s="2"/>
      <c r="H3" s="2"/>
      <c r="I3" s="2"/>
      <c r="J3" s="2">
        <v>200.6</v>
      </c>
      <c r="K3" s="2">
        <v>130</v>
      </c>
      <c r="L3" s="2">
        <f t="shared" si="0"/>
        <v>1.3</v>
      </c>
      <c r="M3" s="1">
        <f t="shared" si="1"/>
        <v>4.8588930000000001</v>
      </c>
      <c r="N3" s="1">
        <f t="shared" si="2"/>
        <v>0.70828402366863918</v>
      </c>
      <c r="S3" s="1">
        <f t="shared" si="3"/>
        <v>0.14609701097321368</v>
      </c>
      <c r="Y3" s="1">
        <v>3.6</v>
      </c>
      <c r="Z3" s="1">
        <v>6</v>
      </c>
      <c r="AA3" s="1">
        <v>9.1999999999999993</v>
      </c>
      <c r="AB3" s="1">
        <v>11.8</v>
      </c>
      <c r="AC3" s="1">
        <v>16.399999999999999</v>
      </c>
      <c r="AD3" s="1">
        <v>17.399999999999999</v>
      </c>
      <c r="AE3" s="1">
        <v>23.6</v>
      </c>
      <c r="AF3" s="1">
        <v>30</v>
      </c>
      <c r="AG3" s="1">
        <v>37.799999999999997</v>
      </c>
      <c r="AM3" s="3"/>
      <c r="AN3" s="4"/>
      <c r="AO3" s="3"/>
      <c r="AP3" s="3">
        <v>4</v>
      </c>
      <c r="AQ3">
        <v>1.42</v>
      </c>
      <c r="AR3">
        <v>0.27200000000000002</v>
      </c>
      <c r="AS3">
        <v>8.9999999999999993E-3</v>
      </c>
      <c r="AT3" s="3">
        <v>6.65</v>
      </c>
      <c r="AU3" s="4">
        <v>0.28999999999999998</v>
      </c>
      <c r="AV3" s="4">
        <v>0.31</v>
      </c>
      <c r="AW3" s="3">
        <v>3.3250000000000002E-2</v>
      </c>
      <c r="AX3" s="4">
        <v>1.5499999999999999E-3</v>
      </c>
      <c r="AY3" s="4"/>
      <c r="AZ3" s="4"/>
      <c r="BA3" s="3"/>
      <c r="BB3" s="4"/>
      <c r="BC3" t="s">
        <v>88</v>
      </c>
      <c r="BD3" s="3">
        <v>5.05</v>
      </c>
      <c r="BE3" s="4">
        <v>0.34</v>
      </c>
      <c r="BF3" s="4" t="s">
        <v>78</v>
      </c>
      <c r="BG3" s="4"/>
      <c r="BH3" s="4"/>
      <c r="BI3" s="4"/>
      <c r="BM3" s="1"/>
      <c r="BN3" s="1"/>
      <c r="BO3" s="1"/>
      <c r="BP3" s="1"/>
      <c r="BQ3" s="1"/>
      <c r="BR3" s="3"/>
      <c r="BS3" s="4"/>
      <c r="BT3" s="4"/>
      <c r="BU3" s="4"/>
      <c r="BV3" s="4"/>
      <c r="BW3" s="4">
        <v>1</v>
      </c>
      <c r="BX3" s="3" t="s">
        <v>75</v>
      </c>
      <c r="BY3" s="3">
        <v>-93.54</v>
      </c>
      <c r="BZ3">
        <v>-94.58</v>
      </c>
      <c r="CA3">
        <v>1.03999999999999</v>
      </c>
      <c r="CB3">
        <v>0.05</v>
      </c>
      <c r="CC3">
        <v>4.2000000000000003E-2</v>
      </c>
      <c r="CD3">
        <v>2.54139720558882E-2</v>
      </c>
      <c r="CE3">
        <v>4.0000000000000002E-4</v>
      </c>
      <c r="CF3" s="3">
        <v>1.6586027944111799E-2</v>
      </c>
      <c r="CG3" s="4">
        <v>5.6568542494923803E-4</v>
      </c>
      <c r="CH3" s="4">
        <v>8.2930139720558904E-2</v>
      </c>
      <c r="CI3" s="4">
        <v>2.8284271247461901E-3</v>
      </c>
      <c r="CJ3" s="4">
        <v>300</v>
      </c>
      <c r="CK3" s="4">
        <v>2.7643379906853001E-4</v>
      </c>
      <c r="CL3" s="5">
        <v>9.4280904158206301E-6</v>
      </c>
      <c r="CM3" s="3">
        <v>-8.1935391903754997</v>
      </c>
      <c r="CN3">
        <v>3.4106142040479501E-2</v>
      </c>
      <c r="CR3">
        <v>2</v>
      </c>
      <c r="CS3" t="s">
        <v>79</v>
      </c>
      <c r="CT3">
        <v>0.69899999999999995</v>
      </c>
      <c r="CU3">
        <v>1.4E-2</v>
      </c>
      <c r="CV3">
        <v>13.8</v>
      </c>
      <c r="CW3">
        <v>6.6000000000000003E-2</v>
      </c>
      <c r="CX3">
        <v>3.1401996007983997E-2</v>
      </c>
      <c r="CY3" t="s">
        <v>76</v>
      </c>
      <c r="CZ3" t="s">
        <v>80</v>
      </c>
      <c r="DA3">
        <v>-0.24274028661862301</v>
      </c>
      <c r="DB3">
        <v>7.4810228076066399E-3</v>
      </c>
      <c r="DC3">
        <v>-7.85802705476417</v>
      </c>
      <c r="DD3">
        <v>1.9788919409273902E-2</v>
      </c>
      <c r="DE3">
        <v>4.1196293121756504</v>
      </c>
      <c r="DF3">
        <v>0.12696302403107701</v>
      </c>
      <c r="DG3">
        <v>300</v>
      </c>
      <c r="DH3">
        <v>3.8663593089186199E-4</v>
      </c>
      <c r="DI3" s="6">
        <v>7.6511072771486292E-6</v>
      </c>
      <c r="DJ3">
        <v>0.115990779267559</v>
      </c>
      <c r="DK3">
        <v>2.29533218314459E-3</v>
      </c>
      <c r="DL3">
        <v>6.0263410972315397</v>
      </c>
      <c r="DM3">
        <v>0.16967619445607901</v>
      </c>
      <c r="DN3">
        <v>15</v>
      </c>
      <c r="EI3">
        <v>4</v>
      </c>
      <c r="EJ3">
        <v>1.42</v>
      </c>
      <c r="EK3">
        <v>0.04</v>
      </c>
      <c r="EL3">
        <v>3.3250000000000002E-2</v>
      </c>
      <c r="EM3">
        <v>1.5499999999999999E-3</v>
      </c>
      <c r="EN3">
        <v>0.83099999999999996</v>
      </c>
      <c r="EO3">
        <v>30.91</v>
      </c>
      <c r="EP3" s="6">
        <v>-4.5300000000000001E-4</v>
      </c>
      <c r="EQ3" s="6">
        <v>3.6999999999999998E-5</v>
      </c>
    </row>
    <row r="4" spans="1:147" ht="57.6" x14ac:dyDescent="0.3">
      <c r="B4" s="2"/>
      <c r="D4" s="2"/>
      <c r="E4" s="2"/>
      <c r="F4" s="2"/>
      <c r="G4" s="2"/>
      <c r="H4" s="2"/>
      <c r="I4" s="2"/>
      <c r="J4" s="2">
        <v>302.60000000000002</v>
      </c>
      <c r="K4" s="2">
        <v>133</v>
      </c>
      <c r="L4" s="2">
        <f t="shared" si="0"/>
        <v>1.33</v>
      </c>
      <c r="M4" s="1">
        <f t="shared" si="1"/>
        <v>5.8595129999999997</v>
      </c>
      <c r="N4" s="1">
        <f t="shared" si="2"/>
        <v>0.76467691785855629</v>
      </c>
      <c r="R4" s="2"/>
      <c r="S4" s="1">
        <f t="shared" si="3"/>
        <v>0.17436074099081361</v>
      </c>
      <c r="Y4" s="1">
        <v>3.4</v>
      </c>
      <c r="Z4" s="1">
        <v>7.2</v>
      </c>
      <c r="AA4" s="1">
        <v>8.1999999999999993</v>
      </c>
      <c r="AB4" s="1">
        <v>11</v>
      </c>
      <c r="AC4" s="1">
        <v>15.8</v>
      </c>
      <c r="AD4" s="1">
        <v>18.399999999999999</v>
      </c>
      <c r="AE4" s="1">
        <v>24.2</v>
      </c>
      <c r="AF4" s="1">
        <v>29</v>
      </c>
      <c r="AG4" s="1">
        <v>37</v>
      </c>
      <c r="AM4" s="3"/>
      <c r="AN4" s="4"/>
      <c r="AO4" s="3"/>
      <c r="AP4" s="3">
        <v>5</v>
      </c>
      <c r="AQ4">
        <v>1.46</v>
      </c>
      <c r="AR4">
        <v>0.32100000000000001</v>
      </c>
      <c r="AS4">
        <v>0.01</v>
      </c>
      <c r="AT4" s="3">
        <v>8.65</v>
      </c>
      <c r="AU4" s="4">
        <v>0.26300000000000001</v>
      </c>
      <c r="AV4" s="4">
        <v>0.28000000000000003</v>
      </c>
      <c r="AW4" s="3">
        <v>4.3249999999999997E-2</v>
      </c>
      <c r="AX4" s="4">
        <v>1.4E-3</v>
      </c>
      <c r="AY4" s="4"/>
      <c r="AZ4" s="4"/>
      <c r="BA4" s="3"/>
      <c r="BB4" s="4"/>
      <c r="BD4" s="3"/>
      <c r="BE4" s="4"/>
      <c r="BF4" s="4"/>
      <c r="BG4" s="4"/>
      <c r="BH4" s="4"/>
      <c r="BI4" s="4"/>
      <c r="BM4" s="1"/>
      <c r="BN4" s="1"/>
      <c r="BO4" s="1"/>
      <c r="BP4" s="1"/>
      <c r="BQ4" s="1"/>
      <c r="BR4" s="3"/>
      <c r="BS4" s="4"/>
      <c r="BT4" s="4"/>
      <c r="BU4" s="4"/>
      <c r="BV4" s="4"/>
      <c r="BW4" s="4">
        <v>1</v>
      </c>
      <c r="BX4" s="3" t="s">
        <v>75</v>
      </c>
      <c r="BY4" s="3">
        <v>-92.98</v>
      </c>
      <c r="BZ4">
        <v>-94.58</v>
      </c>
      <c r="CA4">
        <v>1.5999999999999901</v>
      </c>
      <c r="CB4">
        <v>0.05</v>
      </c>
      <c r="CC4">
        <v>3.6799999999999999E-2</v>
      </c>
      <c r="CD4">
        <v>2.54139720558882E-2</v>
      </c>
      <c r="CE4">
        <v>4.0000000000000002E-4</v>
      </c>
      <c r="CF4" s="3">
        <v>1.1386027944111801E-2</v>
      </c>
      <c r="CG4" s="4">
        <v>5.6568542494923803E-4</v>
      </c>
      <c r="CH4" s="4">
        <v>5.6930139720558902E-2</v>
      </c>
      <c r="CI4" s="4">
        <v>2.8284271247461901E-3</v>
      </c>
      <c r="CJ4" s="4">
        <v>300</v>
      </c>
      <c r="CK4" s="4">
        <v>1.8976713240186299E-4</v>
      </c>
      <c r="CL4" s="5">
        <v>9.4280904158206301E-6</v>
      </c>
      <c r="CM4" s="3">
        <v>-8.5697128564264897</v>
      </c>
      <c r="CN4">
        <v>4.9682420219404E-2</v>
      </c>
      <c r="CR4">
        <v>3</v>
      </c>
      <c r="CS4" t="s">
        <v>81</v>
      </c>
      <c r="CT4">
        <v>0.51800000000000002</v>
      </c>
      <c r="CU4">
        <v>1.2E-2</v>
      </c>
      <c r="CV4">
        <v>59.38</v>
      </c>
      <c r="CW4">
        <v>6.2E-2</v>
      </c>
      <c r="CX4">
        <v>3.5949700598802398E-2</v>
      </c>
      <c r="CY4" t="s">
        <v>76</v>
      </c>
      <c r="CZ4" t="s">
        <v>82</v>
      </c>
      <c r="DA4">
        <v>-0.20345643120978499</v>
      </c>
      <c r="DB4">
        <v>8.9653583451725395E-3</v>
      </c>
      <c r="DC4">
        <v>-8.1539057152223702</v>
      </c>
      <c r="DD4">
        <v>2.1741555783624699E-2</v>
      </c>
      <c r="DE4">
        <v>4.9150572142342197</v>
      </c>
      <c r="DF4">
        <v>0.21658322103959099</v>
      </c>
      <c r="DG4">
        <v>300</v>
      </c>
      <c r="DH4">
        <v>2.8760984094736901E-4</v>
      </c>
      <c r="DI4" s="6">
        <v>6.2530854008766603E-6</v>
      </c>
      <c r="DJ4">
        <v>8.6282952284210804E-2</v>
      </c>
      <c r="DK4">
        <v>1.8759256202630001E-3</v>
      </c>
      <c r="DL4">
        <v>6.0035034301299701</v>
      </c>
      <c r="DM4">
        <v>0.19073385286974801</v>
      </c>
      <c r="DN4">
        <v>15</v>
      </c>
      <c r="EI4">
        <v>5</v>
      </c>
      <c r="EJ4">
        <v>1.46</v>
      </c>
      <c r="EK4">
        <v>0.05</v>
      </c>
      <c r="EL4">
        <v>4.3249999999999997E-2</v>
      </c>
      <c r="EM4">
        <v>1.4E-3</v>
      </c>
      <c r="EN4">
        <v>0.86499999999999999</v>
      </c>
      <c r="EO4">
        <v>30.73</v>
      </c>
      <c r="EP4" s="6">
        <v>-4.7399999999999997E-4</v>
      </c>
      <c r="EQ4" s="6">
        <v>3.4999999999999997E-5</v>
      </c>
    </row>
    <row r="5" spans="1:147" x14ac:dyDescent="0.3">
      <c r="B5" s="2"/>
      <c r="D5" s="2"/>
      <c r="E5" s="2"/>
      <c r="F5" s="2"/>
      <c r="G5" s="2"/>
      <c r="H5" s="2"/>
      <c r="I5" s="2"/>
      <c r="J5" s="2">
        <v>404</v>
      </c>
      <c r="K5" s="2">
        <v>137</v>
      </c>
      <c r="L5" s="2">
        <f t="shared" si="0"/>
        <v>1.37</v>
      </c>
      <c r="M5" s="1">
        <f t="shared" si="1"/>
        <v>6.8542470000000009</v>
      </c>
      <c r="N5" s="1">
        <f t="shared" si="2"/>
        <v>0.83720656401513149</v>
      </c>
      <c r="S5" s="1">
        <f t="shared" si="3"/>
        <v>0.21534808571010006</v>
      </c>
      <c r="Z5" s="1">
        <v>7.2</v>
      </c>
      <c r="AA5" s="1">
        <v>8.1999999999999993</v>
      </c>
      <c r="AB5" s="1">
        <v>11.4</v>
      </c>
      <c r="AC5" s="1">
        <v>16.2</v>
      </c>
      <c r="AD5" s="1">
        <v>18</v>
      </c>
      <c r="AE5" s="1">
        <v>24.6</v>
      </c>
      <c r="AF5" s="1">
        <v>30.8</v>
      </c>
      <c r="AG5" s="1">
        <v>38.200000000000003</v>
      </c>
      <c r="AM5" s="3"/>
      <c r="AN5" s="4"/>
      <c r="AO5" s="3"/>
      <c r="AP5" s="3">
        <v>6</v>
      </c>
      <c r="AQ5">
        <v>1.51</v>
      </c>
      <c r="AR5">
        <v>0.38700000000000001</v>
      </c>
      <c r="AS5">
        <v>1.0999999999999999E-2</v>
      </c>
      <c r="AT5" s="3">
        <v>11.4</v>
      </c>
      <c r="AU5" s="4">
        <v>0.16300000000000001</v>
      </c>
      <c r="AV5" s="4">
        <v>0.19</v>
      </c>
      <c r="AW5" s="3">
        <v>5.7000000000000002E-2</v>
      </c>
      <c r="AX5" s="4">
        <v>9.5E-4</v>
      </c>
      <c r="AY5" s="4"/>
      <c r="AZ5" s="4"/>
      <c r="BA5" s="3"/>
      <c r="BB5" s="4"/>
      <c r="BD5" s="3"/>
      <c r="BE5" s="4"/>
      <c r="BF5" s="4"/>
      <c r="BG5" s="3"/>
      <c r="BH5" s="4"/>
      <c r="BI5" s="4"/>
      <c r="BM5" s="1"/>
      <c r="BN5" s="1"/>
      <c r="BO5" s="1"/>
      <c r="BP5" s="1"/>
      <c r="BQ5" s="1"/>
      <c r="BR5" s="1"/>
      <c r="BS5" s="1"/>
      <c r="BT5" s="1"/>
      <c r="BU5" s="1"/>
      <c r="BV5" s="1"/>
      <c r="BW5" s="1">
        <v>1</v>
      </c>
      <c r="BX5" t="s">
        <v>75</v>
      </c>
      <c r="BY5">
        <v>-92.44</v>
      </c>
      <c r="BZ5">
        <v>-94.58</v>
      </c>
      <c r="CA5">
        <v>2.14</v>
      </c>
      <c r="CB5">
        <v>0.05</v>
      </c>
      <c r="CC5">
        <v>3.7600000000000001E-2</v>
      </c>
      <c r="CD5">
        <v>2.54139720558882E-2</v>
      </c>
      <c r="CE5">
        <v>4.0000000000000002E-4</v>
      </c>
      <c r="CF5">
        <v>1.2186027944111799E-2</v>
      </c>
      <c r="CG5">
        <v>5.6568542494923803E-4</v>
      </c>
      <c r="CH5">
        <v>6.0930139720558898E-2</v>
      </c>
      <c r="CI5">
        <v>2.8284271247461901E-3</v>
      </c>
      <c r="CJ5">
        <v>300</v>
      </c>
      <c r="CK5">
        <v>2.0310046573519599E-4</v>
      </c>
      <c r="CL5" s="6">
        <v>9.4280904158206301E-6</v>
      </c>
      <c r="CM5">
        <v>-8.5018097962481392</v>
      </c>
      <c r="CN5">
        <v>4.6420821250666398E-2</v>
      </c>
      <c r="EI5">
        <v>6</v>
      </c>
      <c r="EJ5">
        <v>1.51</v>
      </c>
      <c r="EK5">
        <v>0.06</v>
      </c>
      <c r="EL5">
        <v>5.7000000000000002E-2</v>
      </c>
      <c r="EM5">
        <v>9.5E-4</v>
      </c>
      <c r="EN5">
        <v>0.95</v>
      </c>
      <c r="EO5">
        <v>30.59</v>
      </c>
      <c r="EP5" s="6">
        <v>-5.2300000000000003E-4</v>
      </c>
      <c r="EQ5" s="6">
        <v>3.6000000000000001E-5</v>
      </c>
    </row>
    <row r="6" spans="1:147" x14ac:dyDescent="0.3">
      <c r="B6" s="2"/>
      <c r="D6" s="2"/>
      <c r="E6" s="2"/>
      <c r="F6" s="2"/>
      <c r="G6" s="2"/>
      <c r="H6" s="2"/>
      <c r="I6" s="2"/>
      <c r="J6" s="2">
        <v>506</v>
      </c>
      <c r="K6" s="2">
        <v>142</v>
      </c>
      <c r="L6" s="2">
        <f t="shared" si="0"/>
        <v>1.42</v>
      </c>
      <c r="M6" s="1">
        <f t="shared" si="1"/>
        <v>7.8548670000000014</v>
      </c>
      <c r="N6" s="1">
        <f t="shared" si="2"/>
        <v>0.92406665344177741</v>
      </c>
      <c r="S6" s="1">
        <f t="shared" si="3"/>
        <v>0.27168432119981645</v>
      </c>
      <c r="AM6" s="3"/>
      <c r="AN6" s="4"/>
      <c r="AO6" s="3"/>
      <c r="AP6" s="3">
        <v>7</v>
      </c>
      <c r="AQ6">
        <v>1.54</v>
      </c>
      <c r="AR6">
        <v>0.42899999999999999</v>
      </c>
      <c r="AS6">
        <v>1.0999999999999999E-2</v>
      </c>
      <c r="AT6" s="3">
        <v>15.98</v>
      </c>
      <c r="AU6" s="4">
        <v>0.20200000000000001</v>
      </c>
      <c r="AV6" s="4">
        <v>0.23</v>
      </c>
      <c r="AW6" s="3">
        <v>7.9899999999999999E-2</v>
      </c>
      <c r="AX6" s="4">
        <v>1.15E-3</v>
      </c>
      <c r="AY6" s="4"/>
      <c r="AZ6" s="4"/>
      <c r="BA6" s="3"/>
      <c r="BB6" s="4"/>
      <c r="BD6" s="3"/>
      <c r="BE6" s="4"/>
      <c r="BF6" s="4"/>
      <c r="BG6" s="3"/>
      <c r="BH6" s="4"/>
      <c r="BI6" s="4"/>
      <c r="BM6" s="1"/>
      <c r="BN6" s="1"/>
      <c r="BO6" s="1"/>
      <c r="BP6" s="1"/>
      <c r="BQ6" s="1"/>
      <c r="BR6" s="1"/>
      <c r="BS6" s="1"/>
      <c r="BT6" s="1"/>
      <c r="BU6" s="1"/>
      <c r="BV6" s="1"/>
      <c r="BW6" s="1">
        <v>1</v>
      </c>
      <c r="BX6" t="s">
        <v>75</v>
      </c>
      <c r="BY6">
        <v>-91.88</v>
      </c>
      <c r="BZ6">
        <v>-94.58</v>
      </c>
      <c r="CA6">
        <v>2.7</v>
      </c>
      <c r="CB6">
        <v>0.05</v>
      </c>
      <c r="CC6">
        <v>3.5200000000000002E-2</v>
      </c>
      <c r="CD6">
        <v>2.54139720558882E-2</v>
      </c>
      <c r="CE6">
        <v>4.0000000000000002E-4</v>
      </c>
      <c r="CF6">
        <v>9.7860279441117793E-3</v>
      </c>
      <c r="CG6">
        <v>5.6568542494923803E-4</v>
      </c>
      <c r="CH6">
        <v>4.8930139720558902E-2</v>
      </c>
      <c r="CI6">
        <v>2.8284271247461901E-3</v>
      </c>
      <c r="CJ6">
        <v>300</v>
      </c>
      <c r="CK6">
        <v>1.6310046573519599E-4</v>
      </c>
      <c r="CL6" s="6">
        <v>9.4280904158206301E-6</v>
      </c>
      <c r="CM6">
        <v>-8.7211441928220896</v>
      </c>
      <c r="CN6">
        <v>5.7805416884141397E-2</v>
      </c>
      <c r="EI6">
        <v>7</v>
      </c>
      <c r="EJ6">
        <v>1.54</v>
      </c>
      <c r="EK6">
        <v>7.0000000000000007E-2</v>
      </c>
      <c r="EL6">
        <v>7.9899999999999999E-2</v>
      </c>
      <c r="EM6">
        <v>1.15E-3</v>
      </c>
      <c r="EN6">
        <v>1.141</v>
      </c>
      <c r="EO6">
        <v>30.54</v>
      </c>
      <c r="EP6" s="6">
        <v>-6.29E-4</v>
      </c>
      <c r="EQ6" s="6">
        <v>4.3000000000000002E-5</v>
      </c>
    </row>
    <row r="7" spans="1:147" x14ac:dyDescent="0.3">
      <c r="B7" s="2"/>
      <c r="D7" s="2"/>
      <c r="E7" s="2"/>
      <c r="F7" s="2"/>
      <c r="G7" s="2"/>
      <c r="H7" s="2"/>
      <c r="I7" s="2"/>
      <c r="J7" s="2">
        <v>607</v>
      </c>
      <c r="K7" s="2">
        <v>146</v>
      </c>
      <c r="L7" s="2">
        <f t="shared" si="0"/>
        <v>1.46</v>
      </c>
      <c r="M7" s="1">
        <f t="shared" si="1"/>
        <v>8.845677000000002</v>
      </c>
      <c r="N7" s="1">
        <f t="shared" si="2"/>
        <v>0.99086883092512656</v>
      </c>
      <c r="S7" s="1">
        <f t="shared" si="3"/>
        <v>0.32067650383665441</v>
      </c>
      <c r="AM7" s="3"/>
      <c r="AN7" s="4"/>
      <c r="AO7" s="3"/>
      <c r="AP7" s="3">
        <v>8</v>
      </c>
      <c r="AQ7">
        <v>1.6</v>
      </c>
      <c r="AR7">
        <v>0.51800000000000002</v>
      </c>
      <c r="AS7">
        <v>1.2E-2</v>
      </c>
      <c r="AT7" s="3">
        <v>18.2</v>
      </c>
      <c r="AU7" s="4">
        <v>0.33700000000000002</v>
      </c>
      <c r="AV7" s="4">
        <v>0.35</v>
      </c>
      <c r="AW7" s="3">
        <v>9.0999999999999998E-2</v>
      </c>
      <c r="AX7" s="4">
        <v>1.75E-3</v>
      </c>
      <c r="AY7" s="4"/>
      <c r="AZ7" s="4"/>
      <c r="BA7" s="3"/>
      <c r="BB7" s="4"/>
      <c r="BD7" s="3"/>
      <c r="BE7" s="4"/>
      <c r="BF7" s="4"/>
      <c r="BG7" s="3"/>
      <c r="BH7" s="4"/>
      <c r="BI7" s="4"/>
      <c r="BM7" s="1"/>
      <c r="BN7" s="1"/>
      <c r="BO7" s="1"/>
      <c r="BP7" s="1"/>
      <c r="BQ7" s="1"/>
      <c r="BR7" s="1"/>
      <c r="BS7" s="1"/>
      <c r="BT7" s="1"/>
      <c r="BU7" s="1"/>
      <c r="BV7" s="1"/>
      <c r="BW7" s="1">
        <v>1</v>
      </c>
      <c r="BX7" t="s">
        <v>75</v>
      </c>
      <c r="BY7">
        <v>-91.32</v>
      </c>
      <c r="BZ7">
        <v>-94.58</v>
      </c>
      <c r="CA7">
        <v>3.26000000000001</v>
      </c>
      <c r="CB7">
        <v>0.05</v>
      </c>
      <c r="CC7">
        <v>3.2800000000000003E-2</v>
      </c>
      <c r="CD7">
        <v>2.54139720558882E-2</v>
      </c>
      <c r="CE7">
        <v>4.0000000000000002E-4</v>
      </c>
      <c r="CF7">
        <v>7.3860279441117799E-3</v>
      </c>
      <c r="CG7">
        <v>5.6568542494923803E-4</v>
      </c>
      <c r="CH7">
        <v>3.6930139720558898E-2</v>
      </c>
      <c r="CI7">
        <v>2.8284271247461901E-3</v>
      </c>
      <c r="CJ7">
        <v>300</v>
      </c>
      <c r="CK7">
        <v>1.23100465735196E-4</v>
      </c>
      <c r="CL7" s="6">
        <v>9.4280904158206301E-6</v>
      </c>
      <c r="CM7">
        <v>-9.0025097413919397</v>
      </c>
      <c r="CN7">
        <v>7.6588584450212993E-2</v>
      </c>
      <c r="EI7">
        <v>8</v>
      </c>
      <c r="EJ7">
        <v>1.6</v>
      </c>
      <c r="EK7">
        <v>0.08</v>
      </c>
      <c r="EL7">
        <v>9.0999999999999998E-2</v>
      </c>
      <c r="EM7">
        <v>1.75E-3</v>
      </c>
      <c r="EN7">
        <v>1.1379999999999999</v>
      </c>
      <c r="EO7">
        <v>30.51</v>
      </c>
      <c r="EP7" s="6">
        <v>-6.2799999999999998E-4</v>
      </c>
      <c r="EQ7" s="6">
        <v>4.3999999999999999E-5</v>
      </c>
    </row>
    <row r="8" spans="1:147" x14ac:dyDescent="0.3">
      <c r="B8" s="2"/>
      <c r="D8" s="2"/>
      <c r="E8" s="2"/>
      <c r="F8" s="2"/>
      <c r="G8" s="2"/>
      <c r="H8" s="2"/>
      <c r="I8" s="2"/>
      <c r="J8" s="2">
        <v>709</v>
      </c>
      <c r="K8" s="2">
        <v>151</v>
      </c>
      <c r="L8" s="2">
        <f t="shared" si="0"/>
        <v>1.51</v>
      </c>
      <c r="M8" s="1">
        <f t="shared" si="1"/>
        <v>9.8462970000000016</v>
      </c>
      <c r="N8" s="1">
        <f t="shared" si="2"/>
        <v>1.0714227446164641</v>
      </c>
      <c r="S8" s="1">
        <f t="shared" si="3"/>
        <v>0.38663285380183365</v>
      </c>
      <c r="AM8" s="3"/>
      <c r="AN8" s="4"/>
      <c r="AO8" s="3"/>
      <c r="AP8" s="3">
        <v>9</v>
      </c>
      <c r="AQ8">
        <v>1.65</v>
      </c>
      <c r="AR8">
        <v>0.59799999999999998</v>
      </c>
      <c r="AS8">
        <v>1.2999999999999999E-2</v>
      </c>
      <c r="AT8" s="3">
        <v>23.9</v>
      </c>
      <c r="AU8" s="4">
        <v>0.311</v>
      </c>
      <c r="AV8" s="4">
        <v>0.33</v>
      </c>
      <c r="AW8" s="3">
        <v>0.1195</v>
      </c>
      <c r="AX8" s="4">
        <v>1.65E-3</v>
      </c>
      <c r="AY8" s="4"/>
      <c r="AZ8" s="4"/>
      <c r="BA8" s="3"/>
      <c r="BB8" s="4"/>
      <c r="BD8" s="3"/>
      <c r="BE8" s="4"/>
      <c r="BF8" s="4"/>
      <c r="BG8" s="3"/>
      <c r="BH8" s="4"/>
      <c r="BI8" s="4"/>
      <c r="BM8" s="1"/>
      <c r="BN8" s="1"/>
      <c r="BO8" s="1"/>
      <c r="BP8" s="1"/>
      <c r="BQ8" s="1"/>
      <c r="BR8" s="1"/>
      <c r="BS8" s="1"/>
      <c r="BT8" s="1"/>
      <c r="BU8" s="1"/>
      <c r="BV8" s="1"/>
      <c r="BW8" s="1">
        <v>1</v>
      </c>
      <c r="BX8" t="s">
        <v>75</v>
      </c>
      <c r="BY8">
        <v>-90.78</v>
      </c>
      <c r="BZ8">
        <v>-94.58</v>
      </c>
      <c r="CA8">
        <v>3.8</v>
      </c>
      <c r="CB8">
        <v>0.05</v>
      </c>
      <c r="CC8">
        <v>3.2399999999999998E-2</v>
      </c>
      <c r="CD8">
        <v>2.54139720558882E-2</v>
      </c>
      <c r="CE8">
        <v>4.0000000000000002E-4</v>
      </c>
      <c r="CF8">
        <v>6.9860279441117702E-3</v>
      </c>
      <c r="CG8">
        <v>5.6568542494923803E-4</v>
      </c>
      <c r="CH8">
        <v>3.4930139720558903E-2</v>
      </c>
      <c r="CI8">
        <v>2.8284271247461901E-3</v>
      </c>
      <c r="CJ8">
        <v>300</v>
      </c>
      <c r="CK8">
        <v>1.1643379906853E-4</v>
      </c>
      <c r="CL8" s="6">
        <v>9.4280904158206301E-6</v>
      </c>
      <c r="CM8">
        <v>-9.0581876948116005</v>
      </c>
      <c r="CN8">
        <v>8.0973827971305201E-2</v>
      </c>
      <c r="EI8">
        <v>9</v>
      </c>
      <c r="EJ8">
        <v>1.65</v>
      </c>
      <c r="EK8">
        <v>0.09</v>
      </c>
      <c r="EL8">
        <v>0.1195</v>
      </c>
      <c r="EM8">
        <v>1.65E-3</v>
      </c>
      <c r="EN8">
        <v>1.3280000000000001</v>
      </c>
      <c r="EO8">
        <v>30.56</v>
      </c>
      <c r="EP8" s="6">
        <v>-7.3099999999999999E-4</v>
      </c>
      <c r="EQ8" s="6">
        <v>5.0000000000000002E-5</v>
      </c>
    </row>
    <row r="9" spans="1:147" x14ac:dyDescent="0.3">
      <c r="B9" s="2"/>
      <c r="D9" s="2"/>
      <c r="E9" s="2"/>
      <c r="F9" s="2"/>
      <c r="G9" s="2"/>
      <c r="H9" s="2"/>
      <c r="I9" s="2"/>
      <c r="J9" s="2">
        <v>812.7</v>
      </c>
      <c r="K9" s="2">
        <v>154</v>
      </c>
      <c r="L9" s="2">
        <f t="shared" si="0"/>
        <v>1.54</v>
      </c>
      <c r="M9" s="1">
        <f t="shared" si="1"/>
        <v>10.863594000000003</v>
      </c>
      <c r="N9" s="1">
        <f t="shared" si="2"/>
        <v>1.1183437341878901</v>
      </c>
      <c r="S9" s="1">
        <f t="shared" si="3"/>
        <v>0.42864552541831613</v>
      </c>
      <c r="AM9" s="3"/>
      <c r="AN9" s="4"/>
      <c r="AO9" s="3"/>
      <c r="AP9" s="3">
        <v>10</v>
      </c>
      <c r="AQ9">
        <v>1.71</v>
      </c>
      <c r="AR9">
        <v>0.69899999999999995</v>
      </c>
      <c r="AS9">
        <v>1.4E-2</v>
      </c>
      <c r="AT9" s="3">
        <v>29.85</v>
      </c>
      <c r="AU9" s="4">
        <v>0.377</v>
      </c>
      <c r="AV9" s="4">
        <v>0.39</v>
      </c>
      <c r="AW9" s="3">
        <v>0.14924999999999999</v>
      </c>
      <c r="AX9" s="4">
        <v>1.9499999999999999E-3</v>
      </c>
      <c r="AY9" s="4"/>
      <c r="AZ9" s="4"/>
      <c r="BA9" s="3"/>
      <c r="BB9" s="4"/>
      <c r="BD9" s="3"/>
      <c r="BE9" s="4"/>
      <c r="BF9" s="4"/>
      <c r="BG9" s="3"/>
      <c r="BH9" s="4"/>
      <c r="BI9" s="4"/>
      <c r="BM9" s="1"/>
      <c r="BN9" s="1"/>
      <c r="BO9" s="1"/>
      <c r="BP9" s="1"/>
      <c r="BQ9" s="1"/>
      <c r="BR9" s="1"/>
      <c r="BS9" s="1"/>
      <c r="BT9" s="1"/>
      <c r="BU9" s="1"/>
      <c r="BV9" s="1"/>
      <c r="BW9" s="1">
        <v>1</v>
      </c>
      <c r="BX9" t="s">
        <v>75</v>
      </c>
      <c r="BY9">
        <v>-90.22</v>
      </c>
      <c r="BZ9">
        <v>-94.58</v>
      </c>
      <c r="CA9">
        <v>4.3600000000000003</v>
      </c>
      <c r="CB9">
        <v>0.05</v>
      </c>
      <c r="CC9">
        <v>3.2000000000000001E-2</v>
      </c>
      <c r="CD9">
        <v>2.54139720558882E-2</v>
      </c>
      <c r="CE9">
        <v>4.0000000000000002E-4</v>
      </c>
      <c r="CF9">
        <v>6.5860279441117796E-3</v>
      </c>
      <c r="CG9">
        <v>5.6568542494923803E-4</v>
      </c>
      <c r="CH9">
        <v>3.2930139720558901E-2</v>
      </c>
      <c r="CI9">
        <v>2.8284271247461901E-3</v>
      </c>
      <c r="CJ9">
        <v>300</v>
      </c>
      <c r="CK9">
        <v>1.09767132401863E-4</v>
      </c>
      <c r="CL9" s="6">
        <v>9.4280904158206301E-6</v>
      </c>
      <c r="CM9">
        <v>-9.1171494143025296</v>
      </c>
      <c r="CN9">
        <v>8.5891743817301594E-2</v>
      </c>
      <c r="EI9">
        <v>10</v>
      </c>
      <c r="EJ9">
        <v>1.71</v>
      </c>
      <c r="EK9">
        <v>0.1</v>
      </c>
      <c r="EL9">
        <v>0.14924999999999999</v>
      </c>
      <c r="EM9">
        <v>1.9499999999999999E-3</v>
      </c>
      <c r="EN9">
        <v>1.4930000000000001</v>
      </c>
      <c r="EO9">
        <v>30.68</v>
      </c>
      <c r="EP9" s="6">
        <v>-8.1899999999999996E-4</v>
      </c>
      <c r="EQ9" s="6">
        <v>5.5999999999999999E-5</v>
      </c>
    </row>
    <row r="10" spans="1:147" x14ac:dyDescent="0.3">
      <c r="B10" s="2"/>
      <c r="D10" s="2"/>
      <c r="E10" s="2"/>
      <c r="F10" s="2"/>
      <c r="G10" s="2"/>
      <c r="H10" s="2"/>
      <c r="I10" s="2"/>
      <c r="J10" s="2">
        <v>914.7</v>
      </c>
      <c r="K10" s="2">
        <v>160</v>
      </c>
      <c r="L10" s="2">
        <f t="shared" si="0"/>
        <v>1.6</v>
      </c>
      <c r="M10" s="1">
        <f t="shared" si="1"/>
        <v>11.864214000000002</v>
      </c>
      <c r="N10" s="1">
        <f t="shared" si="2"/>
        <v>1.2093750000000001</v>
      </c>
      <c r="S10" s="1">
        <f t="shared" si="3"/>
        <v>0.51798031163230329</v>
      </c>
      <c r="AM10" s="3"/>
      <c r="AN10" s="4"/>
      <c r="AO10" s="3"/>
      <c r="AP10" s="3">
        <v>11</v>
      </c>
      <c r="AQ10">
        <v>1.76</v>
      </c>
      <c r="AR10">
        <v>0.78900000000000003</v>
      </c>
      <c r="AS10">
        <v>1.4999999999999999E-2</v>
      </c>
      <c r="AT10" s="3">
        <v>37.65</v>
      </c>
      <c r="AU10" s="4">
        <v>0.25</v>
      </c>
      <c r="AV10" s="4">
        <v>0.27</v>
      </c>
      <c r="AW10" s="3">
        <v>0.18825</v>
      </c>
      <c r="AX10" s="4">
        <v>1.3500000000000001E-3</v>
      </c>
      <c r="AY10" s="4"/>
      <c r="AZ10" s="4"/>
      <c r="BA10" s="3"/>
      <c r="BB10" s="4"/>
      <c r="BD10" s="3"/>
      <c r="BE10" s="4"/>
      <c r="BF10" s="4"/>
      <c r="BG10" s="3"/>
      <c r="BH10" s="4"/>
      <c r="BI10" s="4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>
        <v>1</v>
      </c>
      <c r="BX10" t="s">
        <v>75</v>
      </c>
      <c r="BY10">
        <v>-89.66</v>
      </c>
      <c r="BZ10">
        <v>-94.58</v>
      </c>
      <c r="CA10">
        <v>4.92</v>
      </c>
      <c r="CB10">
        <v>0.05</v>
      </c>
      <c r="CC10">
        <v>3.1199999999999999E-2</v>
      </c>
      <c r="CD10">
        <v>2.54139720558882E-2</v>
      </c>
      <c r="CE10">
        <v>4.0000000000000002E-4</v>
      </c>
      <c r="CF10">
        <v>5.7860279441117697E-3</v>
      </c>
      <c r="CG10">
        <v>5.6568542494923803E-4</v>
      </c>
      <c r="CH10">
        <v>2.8930139720558901E-2</v>
      </c>
      <c r="CI10">
        <v>2.8284271247461901E-3</v>
      </c>
      <c r="CJ10">
        <v>300</v>
      </c>
      <c r="CK10" s="6">
        <v>9.6433799068529596E-5</v>
      </c>
      <c r="CL10" s="6">
        <v>9.4280904158206301E-6</v>
      </c>
      <c r="CM10">
        <v>-9.2466538050539793</v>
      </c>
      <c r="CN10">
        <v>9.7767489271273794E-2</v>
      </c>
      <c r="EI10">
        <v>11</v>
      </c>
      <c r="EJ10">
        <v>1.76</v>
      </c>
      <c r="EK10">
        <v>0.11</v>
      </c>
      <c r="EL10">
        <v>0.18825</v>
      </c>
      <c r="EM10">
        <v>1.3500000000000001E-3</v>
      </c>
      <c r="EN10">
        <v>1.7110000000000001</v>
      </c>
      <c r="EO10">
        <v>30.83</v>
      </c>
      <c r="EP10" s="6">
        <v>-9.3499999999999996E-4</v>
      </c>
      <c r="EQ10" s="6">
        <v>6.3E-5</v>
      </c>
    </row>
    <row r="11" spans="1:147" x14ac:dyDescent="0.3">
      <c r="B11" s="2"/>
      <c r="D11" s="2"/>
      <c r="E11" s="2"/>
      <c r="F11" s="2"/>
      <c r="G11" s="2"/>
      <c r="H11" s="2"/>
      <c r="I11" s="2"/>
      <c r="J11" s="2">
        <v>938.5</v>
      </c>
      <c r="K11" s="2">
        <v>165</v>
      </c>
      <c r="L11" s="2">
        <f t="shared" si="0"/>
        <v>1.65</v>
      </c>
      <c r="M11" s="1">
        <f t="shared" si="1"/>
        <v>12.097692000000002</v>
      </c>
      <c r="N11" s="1">
        <f t="shared" si="2"/>
        <v>1.2826905417814507</v>
      </c>
      <c r="S11" s="1">
        <f t="shared" si="3"/>
        <v>0.59767331692926673</v>
      </c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>
        <v>1</v>
      </c>
      <c r="BX11" t="s">
        <v>75</v>
      </c>
      <c r="BY11">
        <v>-89.12</v>
      </c>
      <c r="BZ11">
        <v>-94.58</v>
      </c>
      <c r="CA11">
        <v>5.4599999999999902</v>
      </c>
      <c r="CB11">
        <v>0.05</v>
      </c>
      <c r="CC11">
        <v>3.0800000000000001E-2</v>
      </c>
      <c r="CD11">
        <v>2.54139720558882E-2</v>
      </c>
      <c r="CE11">
        <v>4.0000000000000002E-4</v>
      </c>
      <c r="CF11">
        <v>5.3860279441117799E-3</v>
      </c>
      <c r="CG11">
        <v>5.6568542494923803E-4</v>
      </c>
      <c r="CH11">
        <v>2.69301397205589E-2</v>
      </c>
      <c r="CI11">
        <v>2.8284271247461901E-3</v>
      </c>
      <c r="CJ11">
        <v>300</v>
      </c>
      <c r="CK11" s="6">
        <v>8.9767132401862894E-5</v>
      </c>
      <c r="CL11" s="6">
        <v>9.4280904158206301E-6</v>
      </c>
      <c r="CM11">
        <v>-9.3182916585416606</v>
      </c>
      <c r="CN11">
        <v>0.105028312296016</v>
      </c>
    </row>
    <row r="12" spans="1:147" x14ac:dyDescent="0.3">
      <c r="B12" s="2"/>
      <c r="D12" s="2"/>
      <c r="E12" s="2"/>
      <c r="F12" s="2"/>
      <c r="G12" s="2"/>
      <c r="H12" s="2"/>
      <c r="I12" s="2"/>
      <c r="J12" s="2">
        <v>1040.5</v>
      </c>
      <c r="K12" s="2">
        <v>171</v>
      </c>
      <c r="L12" s="2">
        <f t="shared" si="0"/>
        <v>1.71</v>
      </c>
      <c r="M12" s="1">
        <f t="shared" si="1"/>
        <v>13.098312000000002</v>
      </c>
      <c r="N12" s="1">
        <f t="shared" si="2"/>
        <v>1.3680144317909784</v>
      </c>
      <c r="S12" s="1">
        <f t="shared" si="3"/>
        <v>0.6993953336207932</v>
      </c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>
        <v>1</v>
      </c>
      <c r="BX12" t="s">
        <v>75</v>
      </c>
      <c r="BY12">
        <v>-88.56</v>
      </c>
      <c r="BZ12">
        <v>-94.58</v>
      </c>
      <c r="CA12">
        <v>6.02</v>
      </c>
      <c r="CB12">
        <v>0.05</v>
      </c>
      <c r="CC12">
        <v>2.8799999999999999E-2</v>
      </c>
      <c r="CD12">
        <v>2.54139720558882E-2</v>
      </c>
      <c r="CE12">
        <v>4.0000000000000002E-4</v>
      </c>
      <c r="CF12">
        <v>3.3860279441117699E-3</v>
      </c>
      <c r="CG12">
        <v>5.6568542494923803E-4</v>
      </c>
      <c r="CH12">
        <v>1.6930139720558901E-2</v>
      </c>
      <c r="CI12">
        <v>2.8284271247461901E-3</v>
      </c>
      <c r="CJ12">
        <v>300</v>
      </c>
      <c r="CK12" s="6">
        <v>5.6433799068529599E-5</v>
      </c>
      <c r="CL12" s="6">
        <v>9.4280904158206301E-6</v>
      </c>
      <c r="CM12">
        <v>-9.7824423046886704</v>
      </c>
      <c r="CN12">
        <v>0.16706460616574401</v>
      </c>
    </row>
    <row r="13" spans="1:147" x14ac:dyDescent="0.3">
      <c r="B13" s="2"/>
      <c r="D13" s="2"/>
      <c r="E13" s="2"/>
      <c r="F13" s="2"/>
      <c r="G13" s="2"/>
      <c r="H13" s="2"/>
      <c r="I13" s="2"/>
      <c r="J13" s="2">
        <v>1141.9000000000001</v>
      </c>
      <c r="K13" s="2">
        <v>176</v>
      </c>
      <c r="L13" s="2">
        <f t="shared" si="0"/>
        <v>1.76</v>
      </c>
      <c r="M13" s="1">
        <f t="shared" si="1"/>
        <v>14.093046000000003</v>
      </c>
      <c r="N13" s="1">
        <f t="shared" si="2"/>
        <v>1.4371694214876034</v>
      </c>
      <c r="S13" s="1">
        <f t="shared" si="3"/>
        <v>0.78909736902045202</v>
      </c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>
        <v>1</v>
      </c>
      <c r="BX13" t="s">
        <v>75</v>
      </c>
      <c r="BY13">
        <v>-87.98</v>
      </c>
      <c r="BZ13">
        <v>-94.58</v>
      </c>
      <c r="CA13">
        <v>6.5999999999999899</v>
      </c>
      <c r="CB13">
        <v>0.05</v>
      </c>
      <c r="CC13">
        <v>2.8000000000000001E-2</v>
      </c>
      <c r="CD13">
        <v>2.54139720558882E-2</v>
      </c>
      <c r="CE13">
        <v>4.0000000000000002E-4</v>
      </c>
      <c r="CF13">
        <v>2.5860279441117799E-3</v>
      </c>
      <c r="CG13">
        <v>5.6568542494923803E-4</v>
      </c>
      <c r="CH13">
        <v>1.2930139720558899E-2</v>
      </c>
      <c r="CI13">
        <v>2.8284271247461901E-3</v>
      </c>
      <c r="CJ13">
        <v>300</v>
      </c>
      <c r="CK13" s="6">
        <v>4.3100465735196303E-5</v>
      </c>
      <c r="CL13" s="6">
        <v>9.4280904158206301E-6</v>
      </c>
      <c r="CM13">
        <v>-10.0519767549919</v>
      </c>
      <c r="CN13">
        <v>0.21874683382183399</v>
      </c>
    </row>
    <row r="14" spans="1:147" x14ac:dyDescent="0.3">
      <c r="B14" s="2"/>
      <c r="D14" s="2"/>
      <c r="E14" s="2"/>
      <c r="F14" s="2"/>
      <c r="G14" s="2"/>
      <c r="H14" s="2"/>
      <c r="I14" s="2"/>
      <c r="J14" s="2">
        <v>1243.9000000000001</v>
      </c>
      <c r="K14" s="2">
        <v>181</v>
      </c>
      <c r="L14" s="2">
        <f t="shared" si="0"/>
        <v>1.81</v>
      </c>
      <c r="M14" s="1">
        <f t="shared" si="1"/>
        <v>15.093666000000002</v>
      </c>
      <c r="N14" s="1">
        <f t="shared" si="2"/>
        <v>1.5047590122401637</v>
      </c>
      <c r="S14" s="1">
        <f t="shared" si="3"/>
        <v>0.88317074018146424</v>
      </c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>
        <v>1</v>
      </c>
      <c r="BX14" t="s">
        <v>75</v>
      </c>
      <c r="BY14">
        <v>-87.36</v>
      </c>
      <c r="BZ14">
        <v>-94.58</v>
      </c>
      <c r="CA14">
        <v>7.22</v>
      </c>
      <c r="CB14">
        <v>0.05</v>
      </c>
      <c r="CC14">
        <v>2.9600000000000001E-2</v>
      </c>
      <c r="CD14">
        <v>2.54139720558882E-2</v>
      </c>
      <c r="CE14">
        <v>4.0000000000000002E-4</v>
      </c>
      <c r="CF14">
        <v>4.1860279441117802E-3</v>
      </c>
      <c r="CG14">
        <v>5.6568542494923803E-4</v>
      </c>
      <c r="CH14">
        <v>2.0930139720558901E-2</v>
      </c>
      <c r="CI14">
        <v>2.8284271247461901E-3</v>
      </c>
      <c r="CJ14">
        <v>300</v>
      </c>
      <c r="CK14" s="6">
        <v>6.9767132401863004E-5</v>
      </c>
      <c r="CL14" s="6">
        <v>9.4280904158206301E-6</v>
      </c>
      <c r="CM14">
        <v>-9.5703475415907207</v>
      </c>
      <c r="CN14">
        <v>0.135136562034889</v>
      </c>
    </row>
    <row r="15" spans="1:147" x14ac:dyDescent="0.3">
      <c r="B15" s="2"/>
      <c r="D15" s="2"/>
      <c r="E15" s="2"/>
      <c r="F15" s="2"/>
      <c r="G15" s="2"/>
      <c r="H15" s="2"/>
      <c r="I15" s="2"/>
      <c r="J15" s="2">
        <v>1344.9</v>
      </c>
      <c r="K15" s="2">
        <v>189</v>
      </c>
      <c r="L15" s="2">
        <f t="shared" si="0"/>
        <v>1.89</v>
      </c>
      <c r="M15" s="1">
        <f t="shared" si="1"/>
        <v>16.084476000000002</v>
      </c>
      <c r="N15" s="1">
        <f t="shared" si="2"/>
        <v>1.61005263010554</v>
      </c>
      <c r="S15" s="1">
        <f t="shared" si="3"/>
        <v>1.0425479631869845</v>
      </c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>
        <v>1</v>
      </c>
      <c r="BX15" t="s">
        <v>75</v>
      </c>
      <c r="BY15">
        <v>-86.72</v>
      </c>
      <c r="BZ15">
        <v>-94.58</v>
      </c>
      <c r="CA15">
        <v>7.86</v>
      </c>
      <c r="CB15">
        <v>0.05</v>
      </c>
      <c r="CC15">
        <v>2.76E-2</v>
      </c>
      <c r="CD15">
        <v>2.54139720558882E-2</v>
      </c>
      <c r="CE15">
        <v>4.0000000000000002E-4</v>
      </c>
      <c r="CF15">
        <v>2.1860279441117802E-3</v>
      </c>
      <c r="CG15">
        <v>5.6568542494923803E-4</v>
      </c>
      <c r="CH15">
        <v>1.0930139720558899E-2</v>
      </c>
      <c r="CI15">
        <v>2.8284271247461901E-3</v>
      </c>
      <c r="CJ15">
        <v>300</v>
      </c>
      <c r="CK15" s="6">
        <v>3.6433799068529601E-5</v>
      </c>
      <c r="CL15" s="6">
        <v>9.4280904158206301E-6</v>
      </c>
      <c r="CM15">
        <v>-10.2200136683149</v>
      </c>
      <c r="CN15">
        <v>0.25877319019317802</v>
      </c>
    </row>
    <row r="16" spans="1:147" x14ac:dyDescent="0.3">
      <c r="B16" s="2"/>
      <c r="D16" s="2"/>
      <c r="E16" s="2"/>
      <c r="F16" s="2"/>
      <c r="G16" s="2"/>
      <c r="H16" s="2"/>
      <c r="I16" s="2"/>
      <c r="J16" s="2">
        <v>1550.6</v>
      </c>
      <c r="K16" s="2">
        <v>196</v>
      </c>
      <c r="L16" s="2">
        <f t="shared" si="0"/>
        <v>1.96</v>
      </c>
      <c r="M16" s="1">
        <f t="shared" si="1"/>
        <v>18.102393000000003</v>
      </c>
      <c r="N16" s="1">
        <f t="shared" si="2"/>
        <v>1.6996917950853812</v>
      </c>
      <c r="S16" s="1">
        <f t="shared" si="3"/>
        <v>1.1907204551482162</v>
      </c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>
        <v>1</v>
      </c>
      <c r="BX16" t="s">
        <v>75</v>
      </c>
      <c r="BY16">
        <v>-79.48</v>
      </c>
      <c r="BZ16">
        <v>-94.58</v>
      </c>
      <c r="CA16">
        <v>15.1</v>
      </c>
      <c r="CB16">
        <v>0.05</v>
      </c>
      <c r="CC16">
        <v>2.8799999999999999E-2</v>
      </c>
      <c r="CD16">
        <v>2.54139720558882E-2</v>
      </c>
      <c r="CE16">
        <v>4.0000000000000002E-4</v>
      </c>
      <c r="CF16">
        <v>3.3860279441117699E-3</v>
      </c>
      <c r="CG16">
        <v>5.6568542494923803E-4</v>
      </c>
      <c r="CH16">
        <v>1.6930139720558901E-2</v>
      </c>
      <c r="CI16">
        <v>2.8284271247461901E-3</v>
      </c>
      <c r="CJ16">
        <v>300</v>
      </c>
      <c r="CK16" s="6">
        <v>5.6433799068529599E-5</v>
      </c>
      <c r="CL16" s="6">
        <v>9.4280904158206301E-6</v>
      </c>
      <c r="CM16">
        <v>-9.7824423046886704</v>
      </c>
      <c r="CN16">
        <v>0.16706460616574401</v>
      </c>
    </row>
    <row r="17" spans="2:92" x14ac:dyDescent="0.3">
      <c r="B17" s="2"/>
      <c r="D17" s="2"/>
      <c r="E17" s="2"/>
      <c r="F17" s="2"/>
      <c r="G17" s="2"/>
      <c r="H17" s="2"/>
      <c r="I17" s="2"/>
      <c r="J17" s="2"/>
      <c r="K17" s="2"/>
      <c r="L17" s="2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>
        <v>2</v>
      </c>
      <c r="BX17" t="s">
        <v>79</v>
      </c>
      <c r="BY17">
        <v>14.3</v>
      </c>
      <c r="BZ17">
        <v>13.8</v>
      </c>
      <c r="CA17">
        <v>0.5</v>
      </c>
      <c r="CB17">
        <v>0.05</v>
      </c>
      <c r="CC17">
        <v>5.3600000000000002E-2</v>
      </c>
      <c r="CD17">
        <v>3.1401996007983997E-2</v>
      </c>
      <c r="CE17">
        <v>4.0000000000000002E-4</v>
      </c>
      <c r="CF17">
        <v>2.2198003992016001E-2</v>
      </c>
      <c r="CG17">
        <v>5.6568542494923803E-4</v>
      </c>
      <c r="CH17">
        <v>0.11099001996008</v>
      </c>
      <c r="CI17">
        <v>2.8284271247461901E-3</v>
      </c>
      <c r="CJ17">
        <v>300</v>
      </c>
      <c r="CK17">
        <v>3.6996673320026602E-4</v>
      </c>
      <c r="CL17" s="6">
        <v>9.4280904158206301E-6</v>
      </c>
      <c r="CM17">
        <v>-7.9020974666377297</v>
      </c>
      <c r="CN17">
        <v>2.5483616687009301E-2</v>
      </c>
    </row>
    <row r="18" spans="2:92" x14ac:dyDescent="0.3">
      <c r="B18" s="2"/>
      <c r="D18" s="2"/>
      <c r="E18" s="2"/>
      <c r="F18" s="2"/>
      <c r="G18" s="2"/>
      <c r="H18" s="2"/>
      <c r="I18" s="2"/>
      <c r="J18" s="2"/>
      <c r="K18" s="2"/>
      <c r="L18" s="2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>
        <v>2</v>
      </c>
      <c r="BX18" t="s">
        <v>79</v>
      </c>
      <c r="BY18">
        <v>14.9</v>
      </c>
      <c r="BZ18">
        <v>13.8</v>
      </c>
      <c r="CA18">
        <v>1.1000000000000001</v>
      </c>
      <c r="CB18">
        <v>0.05</v>
      </c>
      <c r="CC18">
        <v>5.1999999999999998E-2</v>
      </c>
      <c r="CD18">
        <v>3.1401996007983997E-2</v>
      </c>
      <c r="CE18">
        <v>4.0000000000000002E-4</v>
      </c>
      <c r="CF18">
        <v>2.0598003992016001E-2</v>
      </c>
      <c r="CG18">
        <v>5.6568542494923803E-4</v>
      </c>
      <c r="CH18">
        <v>0.10299001996008</v>
      </c>
      <c r="CI18">
        <v>2.8284271247461901E-3</v>
      </c>
      <c r="CJ18">
        <v>300</v>
      </c>
      <c r="CK18">
        <v>3.4330006653359899E-4</v>
      </c>
      <c r="CL18" s="6">
        <v>9.4280904158206301E-6</v>
      </c>
      <c r="CM18">
        <v>-7.9769056636946498</v>
      </c>
      <c r="CN18">
        <v>2.7463118521993901E-2</v>
      </c>
    </row>
    <row r="19" spans="2:92" x14ac:dyDescent="0.3">
      <c r="B19" s="2"/>
      <c r="D19" s="2"/>
      <c r="E19" s="2"/>
      <c r="F19" s="2"/>
      <c r="G19" s="2"/>
      <c r="H19" s="2"/>
      <c r="I19" s="2"/>
      <c r="J19" s="2"/>
      <c r="K19" s="2"/>
      <c r="L19" s="2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>
        <v>2</v>
      </c>
      <c r="BX19" t="s">
        <v>79</v>
      </c>
      <c r="BY19">
        <v>15.5</v>
      </c>
      <c r="BZ19">
        <v>13.8</v>
      </c>
      <c r="CA19">
        <v>1.7</v>
      </c>
      <c r="CB19">
        <v>0.05</v>
      </c>
      <c r="CC19">
        <v>4.48E-2</v>
      </c>
      <c r="CD19">
        <v>3.1401996007983997E-2</v>
      </c>
      <c r="CE19">
        <v>4.0000000000000002E-4</v>
      </c>
      <c r="CF19">
        <v>1.3398003992015999E-2</v>
      </c>
      <c r="CG19">
        <v>5.6568542494923803E-4</v>
      </c>
      <c r="CH19">
        <v>6.6990019960079805E-2</v>
      </c>
      <c r="CI19">
        <v>2.8284271247461901E-3</v>
      </c>
      <c r="CJ19">
        <v>300</v>
      </c>
      <c r="CK19">
        <v>2.23300066533599E-4</v>
      </c>
      <c r="CL19" s="6">
        <v>9.4280904158206301E-6</v>
      </c>
      <c r="CM19">
        <v>-8.4069941011621001</v>
      </c>
      <c r="CN19">
        <v>4.2221619376015797E-2</v>
      </c>
    </row>
    <row r="20" spans="2:92" x14ac:dyDescent="0.3">
      <c r="B20" s="2"/>
      <c r="D20" s="2"/>
      <c r="E20" s="2"/>
      <c r="F20" s="2"/>
      <c r="G20" s="2"/>
      <c r="H20" s="2"/>
      <c r="I20" s="2"/>
      <c r="J20" s="2"/>
      <c r="K20" s="2"/>
      <c r="L20" s="2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>
        <v>2</v>
      </c>
      <c r="BX20" t="s">
        <v>79</v>
      </c>
      <c r="BY20">
        <v>16.12</v>
      </c>
      <c r="BZ20">
        <v>13.8</v>
      </c>
      <c r="CA20">
        <v>2.3199999999999998</v>
      </c>
      <c r="CB20">
        <v>0.05</v>
      </c>
      <c r="CC20">
        <v>4.2000000000000003E-2</v>
      </c>
      <c r="CD20">
        <v>3.1401996007983997E-2</v>
      </c>
      <c r="CE20">
        <v>4.0000000000000002E-4</v>
      </c>
      <c r="CF20">
        <v>1.0598003992016001E-2</v>
      </c>
      <c r="CG20">
        <v>5.6568542494923803E-4</v>
      </c>
      <c r="CH20">
        <v>5.29900199600798E-2</v>
      </c>
      <c r="CI20">
        <v>2.8284271247461901E-3</v>
      </c>
      <c r="CJ20">
        <v>300</v>
      </c>
      <c r="CK20">
        <v>1.7663339986693301E-4</v>
      </c>
      <c r="CL20" s="6">
        <v>9.4280904158206301E-6</v>
      </c>
      <c r="CM20">
        <v>-8.6414341604573899</v>
      </c>
      <c r="CN20">
        <v>5.3376600478297502E-2</v>
      </c>
    </row>
    <row r="21" spans="2:92" x14ac:dyDescent="0.3">
      <c r="B21" s="2"/>
      <c r="D21" s="2"/>
      <c r="E21" s="2"/>
      <c r="F21" s="2"/>
      <c r="G21" s="2"/>
      <c r="H21" s="2"/>
      <c r="I21" s="2"/>
      <c r="J21" s="2"/>
      <c r="K21" s="2"/>
      <c r="L21" s="2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>
        <v>2</v>
      </c>
      <c r="BX21" t="s">
        <v>79</v>
      </c>
      <c r="BY21">
        <v>16.72</v>
      </c>
      <c r="BZ21">
        <v>13.8</v>
      </c>
      <c r="CA21">
        <v>2.92</v>
      </c>
      <c r="CB21">
        <v>0.05</v>
      </c>
      <c r="CC21">
        <v>4.0399999999999998E-2</v>
      </c>
      <c r="CD21">
        <v>3.1401996007983997E-2</v>
      </c>
      <c r="CE21">
        <v>4.0000000000000002E-4</v>
      </c>
      <c r="CF21">
        <v>8.9980039920159599E-3</v>
      </c>
      <c r="CG21">
        <v>5.6568542494923803E-4</v>
      </c>
      <c r="CH21">
        <v>4.49900199600798E-2</v>
      </c>
      <c r="CI21">
        <v>2.8284271247461901E-3</v>
      </c>
      <c r="CJ21">
        <v>300</v>
      </c>
      <c r="CK21">
        <v>1.4996673320026601E-4</v>
      </c>
      <c r="CL21" s="6">
        <v>9.4280904158206301E-6</v>
      </c>
      <c r="CM21">
        <v>-8.8050970671294397</v>
      </c>
      <c r="CN21">
        <v>6.2867878859709098E-2</v>
      </c>
    </row>
    <row r="22" spans="2:92" x14ac:dyDescent="0.3">
      <c r="B22" s="2"/>
      <c r="D22" s="2"/>
      <c r="E22" s="2"/>
      <c r="F22" s="2"/>
      <c r="G22" s="2"/>
      <c r="H22" s="2"/>
      <c r="I22" s="2"/>
      <c r="J22" s="2"/>
      <c r="K22" s="2"/>
      <c r="L22" s="2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>
        <v>2</v>
      </c>
      <c r="BX22" t="s">
        <v>79</v>
      </c>
      <c r="BY22">
        <v>17.32</v>
      </c>
      <c r="BZ22">
        <v>13.8</v>
      </c>
      <c r="CA22">
        <v>3.52</v>
      </c>
      <c r="CB22">
        <v>0.05</v>
      </c>
      <c r="CC22">
        <v>3.8800000000000001E-2</v>
      </c>
      <c r="CD22">
        <v>3.1401996007983997E-2</v>
      </c>
      <c r="CE22">
        <v>4.0000000000000002E-4</v>
      </c>
      <c r="CF22">
        <v>7.39800399201596E-3</v>
      </c>
      <c r="CG22">
        <v>5.6568542494923803E-4</v>
      </c>
      <c r="CH22">
        <v>3.6990019960079799E-2</v>
      </c>
      <c r="CI22">
        <v>2.8284271247461901E-3</v>
      </c>
      <c r="CJ22">
        <v>300</v>
      </c>
      <c r="CK22">
        <v>1.2330006653359901E-4</v>
      </c>
      <c r="CL22" s="6">
        <v>9.4280904158206301E-6</v>
      </c>
      <c r="CM22">
        <v>-9.0008896081866698</v>
      </c>
      <c r="CN22">
        <v>7.64646012032075E-2</v>
      </c>
    </row>
    <row r="23" spans="2:92" x14ac:dyDescent="0.3">
      <c r="B23" s="2"/>
      <c r="D23" s="2"/>
      <c r="E23" s="2"/>
      <c r="F23" s="2"/>
      <c r="G23" s="2"/>
      <c r="H23" s="2"/>
      <c r="I23" s="2"/>
      <c r="J23" s="2"/>
      <c r="K23" s="2"/>
      <c r="L23" s="2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>
        <v>2</v>
      </c>
      <c r="BX23" t="s">
        <v>79</v>
      </c>
      <c r="BY23">
        <v>17.940000000000001</v>
      </c>
      <c r="BZ23">
        <v>13.8</v>
      </c>
      <c r="CA23">
        <v>4.1399999999999997</v>
      </c>
      <c r="CB23">
        <v>0.05</v>
      </c>
      <c r="CC23">
        <v>3.8399999999999997E-2</v>
      </c>
      <c r="CD23">
        <v>3.1401996007983997E-2</v>
      </c>
      <c r="CE23">
        <v>4.0000000000000002E-4</v>
      </c>
      <c r="CF23">
        <v>6.9980039920159599E-3</v>
      </c>
      <c r="CG23">
        <v>5.6568542494923803E-4</v>
      </c>
      <c r="CH23">
        <v>3.4990019960079798E-2</v>
      </c>
      <c r="CI23">
        <v>2.8284271247461901E-3</v>
      </c>
      <c r="CJ23">
        <v>300</v>
      </c>
      <c r="CK23">
        <v>1.16633399866933E-4</v>
      </c>
      <c r="CL23" s="6">
        <v>9.4280904158206301E-6</v>
      </c>
      <c r="CM23">
        <v>-9.0564748768079202</v>
      </c>
      <c r="CN23">
        <v>8.0835253251445693E-2</v>
      </c>
    </row>
    <row r="24" spans="2:92" x14ac:dyDescent="0.3">
      <c r="B24" s="2"/>
      <c r="D24" s="2"/>
      <c r="E24" s="2"/>
      <c r="F24" s="2"/>
      <c r="G24" s="2"/>
      <c r="H24" s="2"/>
      <c r="I24" s="2"/>
      <c r="J24" s="2"/>
      <c r="K24" s="2"/>
      <c r="L24" s="2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>
        <v>2</v>
      </c>
      <c r="BX24" t="s">
        <v>79</v>
      </c>
      <c r="BY24">
        <v>18.54</v>
      </c>
      <c r="BZ24">
        <v>13.8</v>
      </c>
      <c r="CA24">
        <v>4.74</v>
      </c>
      <c r="CB24">
        <v>0.05</v>
      </c>
      <c r="CC24">
        <v>3.6799999999999999E-2</v>
      </c>
      <c r="CD24">
        <v>3.1401996007983997E-2</v>
      </c>
      <c r="CE24">
        <v>4.0000000000000002E-4</v>
      </c>
      <c r="CF24">
        <v>5.39800399201596E-3</v>
      </c>
      <c r="CG24">
        <v>5.6568542494923803E-4</v>
      </c>
      <c r="CH24">
        <v>2.6990019960079801E-2</v>
      </c>
      <c r="CI24">
        <v>2.8284271247461901E-3</v>
      </c>
      <c r="CJ24">
        <v>300</v>
      </c>
      <c r="CK24" s="6">
        <v>8.9966733200266003E-5</v>
      </c>
      <c r="CL24" s="6">
        <v>9.4280904158206301E-6</v>
      </c>
      <c r="CM24">
        <v>-9.3160705870725806</v>
      </c>
      <c r="CN24">
        <v>0.104795295777092</v>
      </c>
    </row>
    <row r="25" spans="2:92" x14ac:dyDescent="0.3">
      <c r="B25" s="2"/>
      <c r="D25" s="2"/>
      <c r="E25" s="2"/>
      <c r="F25" s="2"/>
      <c r="G25" s="2"/>
      <c r="H25" s="2"/>
      <c r="I25" s="2"/>
      <c r="J25" s="2"/>
      <c r="K25" s="2"/>
      <c r="L25" s="2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>
        <v>2</v>
      </c>
      <c r="BX25" t="s">
        <v>79</v>
      </c>
      <c r="BY25">
        <v>19.14</v>
      </c>
      <c r="BZ25">
        <v>13.8</v>
      </c>
      <c r="CA25">
        <v>5.34</v>
      </c>
      <c r="CB25">
        <v>0.05</v>
      </c>
      <c r="CC25">
        <v>3.6799999999999999E-2</v>
      </c>
      <c r="CD25">
        <v>3.1401996007983997E-2</v>
      </c>
      <c r="CE25">
        <v>4.0000000000000002E-4</v>
      </c>
      <c r="CF25">
        <v>5.39800399201596E-3</v>
      </c>
      <c r="CG25">
        <v>5.6568542494923803E-4</v>
      </c>
      <c r="CH25">
        <v>2.6990019960079801E-2</v>
      </c>
      <c r="CI25">
        <v>2.8284271247461901E-3</v>
      </c>
      <c r="CJ25">
        <v>300</v>
      </c>
      <c r="CK25" s="6">
        <v>8.9966733200266003E-5</v>
      </c>
      <c r="CL25" s="6">
        <v>9.4280904158206301E-6</v>
      </c>
      <c r="CM25">
        <v>-9.3160705870725806</v>
      </c>
      <c r="CN25">
        <v>0.104795295777092</v>
      </c>
    </row>
    <row r="26" spans="2:92" x14ac:dyDescent="0.3">
      <c r="B26" s="2"/>
      <c r="D26" s="2"/>
      <c r="E26" s="2"/>
      <c r="F26" s="2"/>
      <c r="G26" s="2"/>
      <c r="H26" s="2"/>
      <c r="I26" s="2"/>
      <c r="J26" s="2"/>
      <c r="K26" s="2"/>
      <c r="L26" s="2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>
        <v>2</v>
      </c>
      <c r="BX26" t="s">
        <v>79</v>
      </c>
      <c r="BY26">
        <v>19.78</v>
      </c>
      <c r="BZ26">
        <v>13.8</v>
      </c>
      <c r="CA26">
        <v>5.98</v>
      </c>
      <c r="CB26">
        <v>0.05</v>
      </c>
      <c r="CC26">
        <v>3.44E-2</v>
      </c>
      <c r="CD26">
        <v>3.1401996007983997E-2</v>
      </c>
      <c r="CE26">
        <v>4.0000000000000002E-4</v>
      </c>
      <c r="CF26">
        <v>2.9980039920159602E-3</v>
      </c>
      <c r="CG26">
        <v>5.6568542494923803E-4</v>
      </c>
      <c r="CH26">
        <v>1.4990019960079801E-2</v>
      </c>
      <c r="CI26">
        <v>2.8284271247461901E-3</v>
      </c>
      <c r="CJ26">
        <v>300</v>
      </c>
      <c r="CK26" s="6">
        <v>4.9966733200266E-5</v>
      </c>
      <c r="CL26" s="6">
        <v>9.4280904158206301E-6</v>
      </c>
      <c r="CM26">
        <v>-9.90415310996503</v>
      </c>
      <c r="CN26">
        <v>0.18868734880131099</v>
      </c>
    </row>
    <row r="27" spans="2:92" x14ac:dyDescent="0.3">
      <c r="B27" s="2"/>
      <c r="D27" s="2"/>
      <c r="E27" s="2"/>
      <c r="F27" s="2"/>
      <c r="G27" s="2"/>
      <c r="H27" s="2"/>
      <c r="I27" s="2"/>
      <c r="J27" s="2"/>
      <c r="K27" s="2"/>
      <c r="L27" s="2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>
        <v>2</v>
      </c>
      <c r="BX27" t="s">
        <v>79</v>
      </c>
      <c r="BY27">
        <v>20.420000000000002</v>
      </c>
      <c r="BZ27">
        <v>13.8</v>
      </c>
      <c r="CA27">
        <v>6.62</v>
      </c>
      <c r="CB27">
        <v>0.05</v>
      </c>
      <c r="CC27">
        <v>3.44E-2</v>
      </c>
      <c r="CD27">
        <v>3.1401996007983997E-2</v>
      </c>
      <c r="CE27">
        <v>4.0000000000000002E-4</v>
      </c>
      <c r="CF27">
        <v>2.9980039920159602E-3</v>
      </c>
      <c r="CG27">
        <v>5.6568542494923803E-4</v>
      </c>
      <c r="CH27">
        <v>1.4990019960079801E-2</v>
      </c>
      <c r="CI27">
        <v>2.8284271247461901E-3</v>
      </c>
      <c r="CJ27">
        <v>300</v>
      </c>
      <c r="CK27" s="6">
        <v>4.9966733200266E-5</v>
      </c>
      <c r="CL27" s="6">
        <v>9.4280904158206301E-6</v>
      </c>
      <c r="CM27">
        <v>-9.90415310996503</v>
      </c>
      <c r="CN27">
        <v>0.18868734880131099</v>
      </c>
    </row>
    <row r="28" spans="2:92" x14ac:dyDescent="0.3">
      <c r="B28" s="2"/>
      <c r="D28" s="2"/>
      <c r="E28" s="2"/>
      <c r="F28" s="2"/>
      <c r="G28" s="2"/>
      <c r="H28" s="2"/>
      <c r="I28" s="2"/>
      <c r="J28" s="2"/>
      <c r="K28" s="2"/>
      <c r="L28" s="2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>
        <v>2</v>
      </c>
      <c r="BX28" t="s">
        <v>79</v>
      </c>
      <c r="BY28">
        <v>21.14</v>
      </c>
      <c r="BZ28">
        <v>13.8</v>
      </c>
      <c r="CA28">
        <v>7.34</v>
      </c>
      <c r="CB28">
        <v>0.05</v>
      </c>
      <c r="CC28">
        <v>3.44E-2</v>
      </c>
      <c r="CD28">
        <v>3.1401996007983997E-2</v>
      </c>
      <c r="CE28">
        <v>4.0000000000000002E-4</v>
      </c>
      <c r="CF28">
        <v>2.9980039920159602E-3</v>
      </c>
      <c r="CG28">
        <v>5.6568542494923803E-4</v>
      </c>
      <c r="CH28">
        <v>1.4990019960079801E-2</v>
      </c>
      <c r="CI28">
        <v>2.8284271247461901E-3</v>
      </c>
      <c r="CJ28">
        <v>300</v>
      </c>
      <c r="CK28" s="6">
        <v>4.9966733200266E-5</v>
      </c>
      <c r="CL28" s="6">
        <v>9.4280904158206301E-6</v>
      </c>
      <c r="CM28">
        <v>-9.90415310996503</v>
      </c>
      <c r="CN28">
        <v>0.18868734880131099</v>
      </c>
    </row>
    <row r="29" spans="2:92" x14ac:dyDescent="0.3">
      <c r="B29" s="2"/>
      <c r="D29" s="2"/>
      <c r="E29" s="2"/>
      <c r="F29" s="2"/>
      <c r="G29" s="2"/>
      <c r="H29" s="2"/>
      <c r="I29" s="2"/>
      <c r="J29" s="2"/>
      <c r="K29" s="2"/>
      <c r="L29" s="2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>
        <v>2</v>
      </c>
      <c r="BX29" t="s">
        <v>79</v>
      </c>
      <c r="BY29">
        <v>21.88</v>
      </c>
      <c r="BZ29">
        <v>13.8</v>
      </c>
      <c r="CA29">
        <v>8.08</v>
      </c>
      <c r="CB29">
        <v>0.05</v>
      </c>
      <c r="CC29">
        <v>3.5200000000000002E-2</v>
      </c>
      <c r="CD29">
        <v>3.1401996007983997E-2</v>
      </c>
      <c r="CE29">
        <v>4.0000000000000002E-4</v>
      </c>
      <c r="CF29">
        <v>3.7980039920159601E-3</v>
      </c>
      <c r="CG29">
        <v>5.6568542494923803E-4</v>
      </c>
      <c r="CH29">
        <v>1.8990019960079801E-2</v>
      </c>
      <c r="CI29">
        <v>2.8284271247461901E-3</v>
      </c>
      <c r="CJ29">
        <v>300</v>
      </c>
      <c r="CK29" s="6">
        <v>6.3300066533599397E-5</v>
      </c>
      <c r="CL29" s="6">
        <v>9.4280904158206301E-6</v>
      </c>
      <c r="CM29">
        <v>-9.6676241777309802</v>
      </c>
      <c r="CN29">
        <v>0.148942820001875</v>
      </c>
    </row>
    <row r="30" spans="2:92" x14ac:dyDescent="0.3">
      <c r="B30" s="2"/>
      <c r="D30" s="2"/>
      <c r="E30" s="2"/>
      <c r="F30" s="2"/>
      <c r="G30" s="2"/>
      <c r="H30" s="2"/>
      <c r="I30" s="2"/>
      <c r="J30" s="2"/>
      <c r="K30" s="2"/>
      <c r="L30" s="2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>
        <v>2</v>
      </c>
      <c r="BX30" t="s">
        <v>79</v>
      </c>
      <c r="BY30">
        <v>22.52</v>
      </c>
      <c r="BZ30">
        <v>13.8</v>
      </c>
      <c r="CA30">
        <v>8.7200000000000006</v>
      </c>
      <c r="CB30">
        <v>0.05</v>
      </c>
      <c r="CC30">
        <v>3.44E-2</v>
      </c>
      <c r="CD30">
        <v>3.1401996007983997E-2</v>
      </c>
      <c r="CE30">
        <v>4.0000000000000002E-4</v>
      </c>
      <c r="CF30">
        <v>2.9980039920159602E-3</v>
      </c>
      <c r="CG30">
        <v>5.6568542494923803E-4</v>
      </c>
      <c r="CH30">
        <v>1.4990019960079801E-2</v>
      </c>
      <c r="CI30">
        <v>2.8284271247461901E-3</v>
      </c>
      <c r="CJ30">
        <v>300</v>
      </c>
      <c r="CK30" s="6">
        <v>4.9966733200266E-5</v>
      </c>
      <c r="CL30" s="6">
        <v>9.4280904158206301E-6</v>
      </c>
      <c r="CM30">
        <v>-9.90415310996503</v>
      </c>
      <c r="CN30">
        <v>0.18868734880131099</v>
      </c>
    </row>
    <row r="31" spans="2:92" x14ac:dyDescent="0.3">
      <c r="B31" s="2"/>
      <c r="D31" s="2"/>
      <c r="E31" s="2"/>
      <c r="F31" s="2"/>
      <c r="G31" s="2"/>
      <c r="H31" s="2"/>
      <c r="I31" s="2"/>
      <c r="J31" s="2"/>
      <c r="K31" s="2"/>
      <c r="L31" s="2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>
        <v>2</v>
      </c>
      <c r="BX31" t="s">
        <v>79</v>
      </c>
      <c r="BY31">
        <v>32.18</v>
      </c>
      <c r="BZ31">
        <v>13.8</v>
      </c>
      <c r="CA31">
        <v>18.38</v>
      </c>
      <c r="CB31">
        <v>0.05</v>
      </c>
      <c r="CC31">
        <v>3.4000000000000002E-2</v>
      </c>
      <c r="CD31">
        <v>3.1401996007983997E-2</v>
      </c>
      <c r="CE31">
        <v>4.0000000000000002E-4</v>
      </c>
      <c r="CF31">
        <v>2.59800399201596E-3</v>
      </c>
      <c r="CG31">
        <v>5.6568542494923803E-4</v>
      </c>
      <c r="CH31">
        <v>1.2990019960079801E-2</v>
      </c>
      <c r="CI31">
        <v>2.8284271247461901E-3</v>
      </c>
      <c r="CJ31">
        <v>300</v>
      </c>
      <c r="CK31" s="6">
        <v>4.3300066533599399E-5</v>
      </c>
      <c r="CL31" s="6">
        <v>9.4280904158206301E-6</v>
      </c>
      <c r="CM31">
        <v>-10.047356386384299</v>
      </c>
      <c r="CN31">
        <v>0.21773847410845801</v>
      </c>
    </row>
    <row r="32" spans="2:92" x14ac:dyDescent="0.3">
      <c r="B32" s="2"/>
      <c r="D32" s="2"/>
      <c r="E32" s="2"/>
      <c r="F32" s="2"/>
      <c r="G32" s="2"/>
      <c r="H32" s="2"/>
      <c r="I32" s="2"/>
      <c r="J32" s="2"/>
      <c r="K32" s="2"/>
      <c r="L32" s="2"/>
      <c r="BW32">
        <v>3</v>
      </c>
      <c r="BX32" t="s">
        <v>81</v>
      </c>
      <c r="BY32">
        <v>59.88</v>
      </c>
      <c r="BZ32">
        <v>59.38</v>
      </c>
      <c r="CA32">
        <v>0.5</v>
      </c>
      <c r="CB32">
        <v>0.05</v>
      </c>
      <c r="CC32">
        <v>5.5199999999999999E-2</v>
      </c>
      <c r="CD32">
        <v>3.5949700598802398E-2</v>
      </c>
      <c r="CE32">
        <v>4.0000000000000002E-4</v>
      </c>
      <c r="CF32">
        <v>1.9250299401197601E-2</v>
      </c>
      <c r="CG32">
        <v>5.6568542494923803E-4</v>
      </c>
      <c r="CH32">
        <v>9.6251497005987993E-2</v>
      </c>
      <c r="CI32">
        <v>2.8284271247461901E-3</v>
      </c>
      <c r="CJ32">
        <v>300</v>
      </c>
      <c r="CK32">
        <v>3.2083832335329297E-4</v>
      </c>
      <c r="CL32" s="6">
        <v>9.4280904158206301E-6</v>
      </c>
      <c r="CM32">
        <v>-8.0445732272824308</v>
      </c>
      <c r="CN32">
        <v>2.9385798795110999E-2</v>
      </c>
    </row>
    <row r="33" spans="2:92" x14ac:dyDescent="0.3">
      <c r="B33" s="2"/>
      <c r="D33" s="2"/>
      <c r="E33" s="2"/>
      <c r="F33" s="2"/>
      <c r="G33" s="2"/>
      <c r="H33" s="2"/>
      <c r="I33" s="2"/>
      <c r="J33" s="2"/>
      <c r="K33" s="2"/>
      <c r="L33" s="2"/>
      <c r="BW33">
        <v>3</v>
      </c>
      <c r="BX33" t="s">
        <v>81</v>
      </c>
      <c r="BY33">
        <v>60.3</v>
      </c>
      <c r="BZ33">
        <v>59.38</v>
      </c>
      <c r="CA33">
        <v>0.91999999999999504</v>
      </c>
      <c r="CB33">
        <v>0.05</v>
      </c>
      <c r="CC33">
        <v>5.1999999999999998E-2</v>
      </c>
      <c r="CD33">
        <v>3.5949700598802398E-2</v>
      </c>
      <c r="CE33">
        <v>4.0000000000000002E-4</v>
      </c>
      <c r="CF33">
        <v>1.60502994011976E-2</v>
      </c>
      <c r="CG33">
        <v>5.6568542494923803E-4</v>
      </c>
      <c r="CH33">
        <v>8.0251497005988007E-2</v>
      </c>
      <c r="CI33">
        <v>2.8284271247461901E-3</v>
      </c>
      <c r="CJ33">
        <v>300</v>
      </c>
      <c r="CK33">
        <v>2.6750499001996001E-4</v>
      </c>
      <c r="CL33" s="6">
        <v>9.4280904158206301E-6</v>
      </c>
      <c r="CM33">
        <v>-8.2263723375219797</v>
      </c>
      <c r="CN33">
        <v>3.5244540354619797E-2</v>
      </c>
    </row>
    <row r="34" spans="2:92" x14ac:dyDescent="0.3">
      <c r="B34" s="2"/>
      <c r="D34" s="2"/>
      <c r="E34" s="2"/>
      <c r="F34" s="2"/>
      <c r="G34" s="2"/>
      <c r="H34" s="2"/>
      <c r="I34" s="2"/>
      <c r="J34" s="2"/>
      <c r="K34" s="2"/>
      <c r="L34" s="2"/>
      <c r="BW34">
        <v>3</v>
      </c>
      <c r="BX34" t="s">
        <v>81</v>
      </c>
      <c r="BY34">
        <v>60.74</v>
      </c>
      <c r="BZ34">
        <v>59.38</v>
      </c>
      <c r="CA34">
        <v>1.36</v>
      </c>
      <c r="CB34">
        <v>0.05</v>
      </c>
      <c r="CC34">
        <v>4.8800000000000003E-2</v>
      </c>
      <c r="CD34">
        <v>3.5949700598802398E-2</v>
      </c>
      <c r="CE34">
        <v>4.0000000000000002E-4</v>
      </c>
      <c r="CF34">
        <v>1.28502994011976E-2</v>
      </c>
      <c r="CG34">
        <v>5.6568542494923803E-4</v>
      </c>
      <c r="CH34">
        <v>6.4251497005988006E-2</v>
      </c>
      <c r="CI34">
        <v>2.8284271247461901E-3</v>
      </c>
      <c r="CJ34">
        <v>300</v>
      </c>
      <c r="CK34">
        <v>2.1417165668662701E-4</v>
      </c>
      <c r="CL34" s="6">
        <v>9.4280904158206301E-6</v>
      </c>
      <c r="CM34">
        <v>-8.4487327304303506</v>
      </c>
      <c r="CN34">
        <v>4.4021186377690001E-2</v>
      </c>
    </row>
    <row r="35" spans="2:92" x14ac:dyDescent="0.3">
      <c r="B35" s="2"/>
      <c r="D35" s="2"/>
      <c r="E35" s="2"/>
      <c r="F35" s="2"/>
      <c r="G35" s="2"/>
      <c r="H35" s="2"/>
      <c r="I35" s="2"/>
      <c r="J35" s="2"/>
      <c r="K35" s="2"/>
      <c r="L35" s="2"/>
      <c r="BW35">
        <v>3</v>
      </c>
      <c r="BX35" t="s">
        <v>81</v>
      </c>
      <c r="BY35">
        <v>61.18</v>
      </c>
      <c r="BZ35">
        <v>59.38</v>
      </c>
      <c r="CA35">
        <v>1.8</v>
      </c>
      <c r="CB35">
        <v>0.05</v>
      </c>
      <c r="CC35">
        <v>4.5199999999999997E-2</v>
      </c>
      <c r="CD35">
        <v>3.5949700598802398E-2</v>
      </c>
      <c r="CE35">
        <v>4.0000000000000002E-4</v>
      </c>
      <c r="CF35">
        <v>9.2502994011975908E-3</v>
      </c>
      <c r="CG35">
        <v>5.6568542494923803E-4</v>
      </c>
      <c r="CH35">
        <v>4.6251497005987997E-2</v>
      </c>
      <c r="CI35">
        <v>2.8284271247461901E-3</v>
      </c>
      <c r="CJ35">
        <v>300</v>
      </c>
      <c r="CK35">
        <v>1.5417165668662699E-4</v>
      </c>
      <c r="CL35" s="6">
        <v>9.4280904158206301E-6</v>
      </c>
      <c r="CM35">
        <v>-8.7774439225066896</v>
      </c>
      <c r="CN35">
        <v>6.1153201687288203E-2</v>
      </c>
    </row>
    <row r="36" spans="2:92" x14ac:dyDescent="0.3">
      <c r="B36" s="2"/>
      <c r="D36" s="2"/>
      <c r="E36" s="2"/>
      <c r="F36" s="2"/>
      <c r="G36" s="2"/>
      <c r="H36" s="2"/>
      <c r="I36" s="2"/>
      <c r="J36" s="2"/>
      <c r="K36" s="2"/>
      <c r="L36" s="2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>
        <v>3</v>
      </c>
      <c r="BX36" t="s">
        <v>81</v>
      </c>
      <c r="BY36">
        <v>61.6</v>
      </c>
      <c r="BZ36">
        <v>59.38</v>
      </c>
      <c r="CA36">
        <v>2.2200000000000002</v>
      </c>
      <c r="CB36">
        <v>0.05</v>
      </c>
      <c r="CC36">
        <v>4.36E-2</v>
      </c>
      <c r="CD36">
        <v>3.5949700598802398E-2</v>
      </c>
      <c r="CE36">
        <v>4.0000000000000002E-4</v>
      </c>
      <c r="CF36">
        <v>7.6502994011975996E-3</v>
      </c>
      <c r="CG36">
        <v>5.6568542494923803E-4</v>
      </c>
      <c r="CH36">
        <v>3.8251497005987997E-2</v>
      </c>
      <c r="CI36">
        <v>2.8284271247461901E-3</v>
      </c>
      <c r="CJ36">
        <v>300</v>
      </c>
      <c r="CK36">
        <v>1.2750499001995999E-4</v>
      </c>
      <c r="CL36" s="6">
        <v>9.4280904158206301E-6</v>
      </c>
      <c r="CM36">
        <v>-8.9673550567201907</v>
      </c>
      <c r="CN36">
        <v>7.3942913248687306E-2</v>
      </c>
    </row>
    <row r="37" spans="2:92" x14ac:dyDescent="0.3">
      <c r="B37" s="2"/>
      <c r="D37" s="2"/>
      <c r="E37" s="2"/>
      <c r="F37" s="2"/>
      <c r="G37" s="2"/>
      <c r="H37" s="2"/>
      <c r="I37" s="2"/>
      <c r="J37" s="2"/>
      <c r="K37" s="2"/>
      <c r="L37" s="2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>
        <v>3</v>
      </c>
      <c r="BX37" t="s">
        <v>81</v>
      </c>
      <c r="BY37">
        <v>62.04</v>
      </c>
      <c r="BZ37">
        <v>59.38</v>
      </c>
      <c r="CA37">
        <v>2.66</v>
      </c>
      <c r="CB37">
        <v>0.05</v>
      </c>
      <c r="CC37">
        <v>4.1599999999999998E-2</v>
      </c>
      <c r="CD37">
        <v>3.5949700598802398E-2</v>
      </c>
      <c r="CE37">
        <v>4.0000000000000002E-4</v>
      </c>
      <c r="CF37">
        <v>5.65029940119759E-3</v>
      </c>
      <c r="CG37">
        <v>5.6568542494923803E-4</v>
      </c>
      <c r="CH37">
        <v>2.8251497005987999E-2</v>
      </c>
      <c r="CI37">
        <v>2.8284271247461901E-3</v>
      </c>
      <c r="CJ37">
        <v>300</v>
      </c>
      <c r="CK37" s="6">
        <v>9.4171656686626603E-5</v>
      </c>
      <c r="CL37" s="6">
        <v>9.4280904158206301E-6</v>
      </c>
      <c r="CM37">
        <v>-9.2703913060874807</v>
      </c>
      <c r="CN37">
        <v>0.10011600886659899</v>
      </c>
    </row>
    <row r="38" spans="2:92" x14ac:dyDescent="0.3">
      <c r="B38" s="2"/>
      <c r="D38" s="2"/>
      <c r="E38" s="2"/>
      <c r="F38" s="2"/>
      <c r="G38" s="2"/>
      <c r="H38" s="2"/>
      <c r="I38" s="2"/>
      <c r="J38" s="2"/>
      <c r="K38" s="2"/>
      <c r="L38" s="2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>
        <v>3</v>
      </c>
      <c r="BX38" t="s">
        <v>81</v>
      </c>
      <c r="BY38">
        <v>62.48</v>
      </c>
      <c r="BZ38">
        <v>59.38</v>
      </c>
      <c r="CA38">
        <v>3.0999999999999899</v>
      </c>
      <c r="CB38">
        <v>0.05</v>
      </c>
      <c r="CC38">
        <v>4.0399999999999998E-2</v>
      </c>
      <c r="CD38">
        <v>3.5949700598802398E-2</v>
      </c>
      <c r="CE38">
        <v>4.0000000000000002E-4</v>
      </c>
      <c r="CF38">
        <v>4.4502994011975903E-3</v>
      </c>
      <c r="CG38">
        <v>5.6568542494923803E-4</v>
      </c>
      <c r="CH38">
        <v>2.2251497005988E-2</v>
      </c>
      <c r="CI38">
        <v>2.8284271247461901E-3</v>
      </c>
      <c r="CJ38">
        <v>300</v>
      </c>
      <c r="CK38" s="6">
        <v>7.4171656686626604E-5</v>
      </c>
      <c r="CL38" s="6">
        <v>9.4280904158206301E-6</v>
      </c>
      <c r="CM38">
        <v>-9.5091284661213695</v>
      </c>
      <c r="CN38">
        <v>0.12711176798509599</v>
      </c>
    </row>
    <row r="39" spans="2:92" x14ac:dyDescent="0.3">
      <c r="B39" s="2"/>
      <c r="D39" s="2"/>
      <c r="E39" s="2"/>
      <c r="F39" s="2"/>
      <c r="G39" s="2"/>
      <c r="H39" s="2"/>
      <c r="I39" s="2"/>
      <c r="J39" s="2"/>
      <c r="K39" s="2"/>
      <c r="L39" s="2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>
        <v>3</v>
      </c>
      <c r="BX39" t="s">
        <v>81</v>
      </c>
      <c r="BY39">
        <v>62.92</v>
      </c>
      <c r="BZ39">
        <v>59.38</v>
      </c>
      <c r="CA39">
        <v>3.54</v>
      </c>
      <c r="CB39">
        <v>0.05</v>
      </c>
      <c r="CC39">
        <v>0.04</v>
      </c>
      <c r="CD39">
        <v>3.5949700598802398E-2</v>
      </c>
      <c r="CE39">
        <v>4.0000000000000002E-4</v>
      </c>
      <c r="CF39">
        <v>4.0502994011975997E-3</v>
      </c>
      <c r="CG39">
        <v>5.6568542494923803E-4</v>
      </c>
      <c r="CH39">
        <v>2.0251497005987999E-2</v>
      </c>
      <c r="CI39">
        <v>2.8284271247461901E-3</v>
      </c>
      <c r="CJ39">
        <v>300</v>
      </c>
      <c r="CK39" s="6">
        <v>6.7504990019959902E-5</v>
      </c>
      <c r="CL39" s="6">
        <v>9.4280904158206301E-6</v>
      </c>
      <c r="CM39">
        <v>-9.6033090365965705</v>
      </c>
      <c r="CN39">
        <v>0.13966508865541499</v>
      </c>
    </row>
    <row r="40" spans="2:92" x14ac:dyDescent="0.3">
      <c r="B40" s="2"/>
      <c r="D40" s="2"/>
      <c r="E40" s="2"/>
      <c r="F40" s="2"/>
      <c r="G40" s="2"/>
      <c r="H40" s="2"/>
      <c r="I40" s="2"/>
      <c r="J40" s="2"/>
      <c r="K40" s="2"/>
      <c r="L40" s="2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>
        <v>3</v>
      </c>
      <c r="BX40" t="s">
        <v>81</v>
      </c>
      <c r="BY40">
        <v>63.38</v>
      </c>
      <c r="BZ40">
        <v>59.38</v>
      </c>
      <c r="CA40">
        <v>4</v>
      </c>
      <c r="CB40">
        <v>0.05</v>
      </c>
      <c r="CC40">
        <v>0.04</v>
      </c>
      <c r="CD40">
        <v>3.5949700598802398E-2</v>
      </c>
      <c r="CE40">
        <v>4.0000000000000002E-4</v>
      </c>
      <c r="CF40">
        <v>4.0502994011975997E-3</v>
      </c>
      <c r="CG40">
        <v>5.6568542494923803E-4</v>
      </c>
      <c r="CH40">
        <v>2.0251497005987999E-2</v>
      </c>
      <c r="CI40">
        <v>2.8284271247461901E-3</v>
      </c>
      <c r="CJ40">
        <v>300</v>
      </c>
      <c r="CK40" s="6">
        <v>6.7504990019959902E-5</v>
      </c>
      <c r="CL40" s="6">
        <v>9.4280904158206301E-6</v>
      </c>
      <c r="CM40">
        <v>-9.6033090365965705</v>
      </c>
      <c r="CN40">
        <v>0.13966508865541499</v>
      </c>
    </row>
    <row r="41" spans="2:92" x14ac:dyDescent="0.3">
      <c r="B41" s="2"/>
      <c r="D41" s="2"/>
      <c r="E41" s="2"/>
      <c r="F41" s="2"/>
      <c r="G41" s="2"/>
      <c r="H41" s="2"/>
      <c r="I41" s="2"/>
      <c r="J41" s="2"/>
      <c r="K41" s="2"/>
      <c r="L41" s="2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>
        <v>3</v>
      </c>
      <c r="BX41" t="s">
        <v>81</v>
      </c>
      <c r="BY41">
        <v>63.82</v>
      </c>
      <c r="BZ41">
        <v>59.38</v>
      </c>
      <c r="CA41">
        <v>4.4400000000000004</v>
      </c>
      <c r="CB41">
        <v>0.05</v>
      </c>
      <c r="CC41">
        <v>3.8399999999999997E-2</v>
      </c>
      <c r="CD41">
        <v>3.5949700598802398E-2</v>
      </c>
      <c r="CE41">
        <v>4.0000000000000002E-4</v>
      </c>
      <c r="CF41">
        <v>2.4502994011975899E-3</v>
      </c>
      <c r="CG41">
        <v>5.6568542494923803E-4</v>
      </c>
      <c r="CH41">
        <v>1.2251497005988E-2</v>
      </c>
      <c r="CI41">
        <v>2.8284271247461901E-3</v>
      </c>
      <c r="CJ41">
        <v>300</v>
      </c>
      <c r="CK41" s="6">
        <v>4.0838323353293202E-5</v>
      </c>
      <c r="CL41" s="6">
        <v>9.4280904158206301E-6</v>
      </c>
      <c r="CM41">
        <v>-10.1058896195435</v>
      </c>
      <c r="CN41">
        <v>0.230863797572149</v>
      </c>
    </row>
    <row r="42" spans="2:92" x14ac:dyDescent="0.3">
      <c r="B42" s="2"/>
      <c r="D42" s="2"/>
      <c r="E42" s="2"/>
      <c r="F42" s="2"/>
      <c r="G42" s="2"/>
      <c r="H42" s="2"/>
      <c r="I42" s="2"/>
      <c r="J42" s="2"/>
      <c r="K42" s="2"/>
      <c r="L42" s="2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>
        <v>3</v>
      </c>
      <c r="BX42" t="s">
        <v>81</v>
      </c>
      <c r="BY42">
        <v>64.3</v>
      </c>
      <c r="BZ42">
        <v>59.38</v>
      </c>
      <c r="CA42">
        <v>4.92</v>
      </c>
      <c r="CB42">
        <v>0.05</v>
      </c>
      <c r="CC42">
        <v>3.8399999999999997E-2</v>
      </c>
      <c r="CD42">
        <v>3.5949700598802398E-2</v>
      </c>
      <c r="CE42">
        <v>4.0000000000000002E-4</v>
      </c>
      <c r="CF42">
        <v>2.4502994011975899E-3</v>
      </c>
      <c r="CG42">
        <v>5.6568542494923803E-4</v>
      </c>
      <c r="CH42">
        <v>1.2251497005988E-2</v>
      </c>
      <c r="CI42">
        <v>2.8284271247461901E-3</v>
      </c>
      <c r="CJ42">
        <v>300</v>
      </c>
      <c r="CK42" s="6">
        <v>4.0838323353293202E-5</v>
      </c>
      <c r="CL42" s="6">
        <v>9.4280904158206301E-6</v>
      </c>
      <c r="CM42">
        <v>-10.1058896195435</v>
      </c>
      <c r="CN42">
        <v>0.230863797572149</v>
      </c>
    </row>
    <row r="43" spans="2:92" x14ac:dyDescent="0.3"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>
        <v>3</v>
      </c>
      <c r="BX43" t="s">
        <v>81</v>
      </c>
      <c r="BY43">
        <v>64.739999999999995</v>
      </c>
      <c r="BZ43">
        <v>59.38</v>
      </c>
      <c r="CA43">
        <v>5.3599999999999897</v>
      </c>
      <c r="CB43">
        <v>0.05</v>
      </c>
      <c r="CC43">
        <v>3.8399999999999997E-2</v>
      </c>
      <c r="CD43">
        <v>3.5949700598802398E-2</v>
      </c>
      <c r="CE43">
        <v>4.0000000000000002E-4</v>
      </c>
      <c r="CF43">
        <v>2.4502994011975899E-3</v>
      </c>
      <c r="CG43">
        <v>5.6568542494923803E-4</v>
      </c>
      <c r="CH43">
        <v>1.2251497005988E-2</v>
      </c>
      <c r="CI43">
        <v>2.8284271247461901E-3</v>
      </c>
      <c r="CJ43">
        <v>300</v>
      </c>
      <c r="CK43" s="6">
        <v>4.0838323353293202E-5</v>
      </c>
      <c r="CL43" s="6">
        <v>9.4280904158206301E-6</v>
      </c>
      <c r="CM43">
        <v>-10.1058896195435</v>
      </c>
      <c r="CN43">
        <v>0.230863797572149</v>
      </c>
    </row>
    <row r="44" spans="2:92" x14ac:dyDescent="0.3"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>
        <v>3</v>
      </c>
      <c r="BX44" t="s">
        <v>81</v>
      </c>
      <c r="BY44">
        <v>65.3</v>
      </c>
      <c r="BZ44">
        <v>59.38</v>
      </c>
      <c r="CA44">
        <v>5.92</v>
      </c>
      <c r="CB44">
        <v>0.05</v>
      </c>
      <c r="CC44">
        <v>3.8399999999999997E-2</v>
      </c>
      <c r="CD44">
        <v>3.5949700598802398E-2</v>
      </c>
      <c r="CE44">
        <v>4.0000000000000002E-4</v>
      </c>
      <c r="CF44">
        <v>2.4502994011975899E-3</v>
      </c>
      <c r="CG44">
        <v>5.6568542494923803E-4</v>
      </c>
      <c r="CH44">
        <v>1.2251497005988E-2</v>
      </c>
      <c r="CI44">
        <v>2.8284271247461901E-3</v>
      </c>
      <c r="CJ44">
        <v>300</v>
      </c>
      <c r="CK44" s="6">
        <v>4.0838323353293202E-5</v>
      </c>
      <c r="CL44" s="6">
        <v>9.4280904158206301E-6</v>
      </c>
      <c r="CM44">
        <v>-10.1058896195435</v>
      </c>
      <c r="CN44">
        <v>0.230863797572149</v>
      </c>
    </row>
    <row r="45" spans="2:92" x14ac:dyDescent="0.3"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>
        <v>3</v>
      </c>
      <c r="BX45" t="s">
        <v>81</v>
      </c>
      <c r="BY45">
        <v>66.739999999999995</v>
      </c>
      <c r="BZ45">
        <v>59.38</v>
      </c>
      <c r="CA45">
        <v>7.3599999999999897</v>
      </c>
      <c r="CB45">
        <v>0.05</v>
      </c>
      <c r="CC45">
        <v>3.9199999999999999E-2</v>
      </c>
      <c r="CD45">
        <v>3.5949700598802398E-2</v>
      </c>
      <c r="CE45">
        <v>4.0000000000000002E-4</v>
      </c>
      <c r="CF45">
        <v>3.2502994011975898E-3</v>
      </c>
      <c r="CG45">
        <v>5.6568542494923803E-4</v>
      </c>
      <c r="CH45">
        <v>1.6251497005987998E-2</v>
      </c>
      <c r="CI45">
        <v>2.8284271247461901E-3</v>
      </c>
      <c r="CJ45">
        <v>300</v>
      </c>
      <c r="CK45" s="6">
        <v>5.4171656686626599E-5</v>
      </c>
      <c r="CL45" s="6">
        <v>9.4280904158206301E-6</v>
      </c>
      <c r="CM45">
        <v>-9.8233527256602802</v>
      </c>
      <c r="CN45">
        <v>0.17404102057207599</v>
      </c>
    </row>
    <row r="46" spans="2:92" x14ac:dyDescent="0.3"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>
        <v>3</v>
      </c>
      <c r="BX46" t="s">
        <v>81</v>
      </c>
      <c r="BY46">
        <v>78.52</v>
      </c>
      <c r="BZ46">
        <v>59.38</v>
      </c>
      <c r="CA46">
        <v>19.14</v>
      </c>
      <c r="CB46">
        <v>0.05</v>
      </c>
      <c r="CC46">
        <v>3.8800000000000001E-2</v>
      </c>
      <c r="CD46">
        <v>3.5949700598802398E-2</v>
      </c>
      <c r="CE46">
        <v>4.0000000000000002E-4</v>
      </c>
      <c r="CF46">
        <v>2.8502994011976E-3</v>
      </c>
      <c r="CG46">
        <v>5.6568542494923803E-4</v>
      </c>
      <c r="CH46">
        <v>1.4251497005988E-2</v>
      </c>
      <c r="CI46">
        <v>2.8284271247461901E-3</v>
      </c>
      <c r="CJ46">
        <v>300</v>
      </c>
      <c r="CK46" s="6">
        <v>4.7504990019959897E-5</v>
      </c>
      <c r="CL46" s="6">
        <v>9.4280904158206301E-6</v>
      </c>
      <c r="CM46">
        <v>-9.9546757993895802</v>
      </c>
      <c r="CN46">
        <v>0.198465264635553</v>
      </c>
    </row>
    <row r="47" spans="2:92" x14ac:dyDescent="0.3"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spans="2:92" x14ac:dyDescent="0.3"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</row>
    <row r="49" spans="65:75" x14ac:dyDescent="0.3"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pans="65:75" x14ac:dyDescent="0.3"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pans="65:75" x14ac:dyDescent="0.3"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65:75" x14ac:dyDescent="0.3"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65:75" x14ac:dyDescent="0.3"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spans="65:75" x14ac:dyDescent="0.3"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spans="65:75" x14ac:dyDescent="0.3"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spans="65:75" x14ac:dyDescent="0.3"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65:75" x14ac:dyDescent="0.3"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65:75" x14ac:dyDescent="0.3"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65:75" x14ac:dyDescent="0.3"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65:75" x14ac:dyDescent="0.3"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65:75" x14ac:dyDescent="0.3"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spans="65:75" x14ac:dyDescent="0.3"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</row>
    <row r="63" spans="65:75" x14ac:dyDescent="0.3"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</row>
    <row r="64" spans="65:75" x14ac:dyDescent="0.3"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pans="65:75" x14ac:dyDescent="0.3"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pans="65:75" x14ac:dyDescent="0.3"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Grigory</dc:creator>
  <dc:description/>
  <cp:lastModifiedBy>Grigory</cp:lastModifiedBy>
  <cp:revision>3</cp:revision>
  <dcterms:created xsi:type="dcterms:W3CDTF">2026-05-19T07:21:12Z</dcterms:created>
  <dcterms:modified xsi:type="dcterms:W3CDTF">2026-06-14T21:14:19Z</dcterms:modified>
  <dc:language>ru-RU</dc:language>
</cp:coreProperties>
</file>